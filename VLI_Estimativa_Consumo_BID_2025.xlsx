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 BID" sheetId="1" state="visible" r:id="rId3"/>
    <sheet name="Base 2025" sheetId="2" state="visible" r:id="rId4"/>
    <sheet name="O que não está no BID" sheetId="3" state="visible" r:id="rId5"/>
    <sheet name="Proxy Conteúdo 2026" sheetId="4" state="visible" r:id="rId6"/>
    <sheet name="Metodologia e premissas" sheetId="5" state="visible" r:id="rId7"/>
  </sheets>
  <definedNames>
    <definedName function="false" hidden="true" localSheetId="1" name="_xlnm._FilterDatabase" vbProcedure="false">'Base 2025'!$A$1:$N$561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<sst xmlns="http://schemas.openxmlformats.org/spreadsheetml/2006/main" count="6462" uniqueCount="1341">
  <si>
    <t xml:space="preserve">VLI | Estimativa anual de consumo dos itens do BID – base 2025 (histórico Monday)</t>
  </si>
  <si>
    <t xml:space="preserve">Quantidades = nº de entregas (itens/subitens) do Monday classificadas em cada linha do BID. Colunas C e D são fórmulas sobre a aba "Base 2025": reclassifique uma linha lá e tudo se recalcula. Azul = premissa editável.</t>
  </si>
  <si>
    <t xml:space="preserve">Serviço (linha do BID)</t>
  </si>
  <si>
    <t xml:space="preserve">Preço RC (R$)
(aba Publicidade)</t>
  </si>
  <si>
    <t xml:space="preserve">Entregue em 2025
(Monday)</t>
  </si>
  <si>
    <t xml:space="preserve">Demandada em 2025
(teto: inclui aguardando/impedido)</t>
  </si>
  <si>
    <t xml:space="preserve">Proxy posts sociais
(calendário 2026 anualizado)</t>
  </si>
  <si>
    <t xml:space="preserve">ESTIMATIVA ANUAL
(qtd)</t>
  </si>
  <si>
    <t xml:space="preserve">Valor anual a Preço RC (R$)</t>
  </si>
  <si>
    <t xml:space="preserve">Confiança</t>
  </si>
  <si>
    <t xml:space="preserve">Base da estimativa / observações</t>
  </si>
  <si>
    <t xml:space="preserve">Criação de post / card estático (texto e imagem)</t>
  </si>
  <si>
    <t xml:space="preserve">Média</t>
  </si>
  <si>
    <t xml:space="preserve">Jobs 2025: fundos Teams, wallpapers, cards WhatsApp, banners de intranet/site, headers LinkedIn, dark posts. + posts "Card Simples" do calendário de Conteúdo 2026 (51 publicados jan–set → 68/ano; calendário 2025 não disponível). Posts de rotina podem já estar no escopo do fee: validar antes de somar. 52 entregas: 0 alta / 51 média / 1 baixa confiança de mapeamento.</t>
  </si>
  <si>
    <t xml:space="preserve">Criação de post / card carrossel / multiproduto</t>
  </si>
  <si>
    <t xml:space="preserve">Baixa</t>
  </si>
  <si>
    <t xml:space="preserve">Sem carrosséis nos jobs de 2025; só calendário de Conteúdo 2026 (42 publicados jan–set → 56/ano). Mesma ressalva do fee.</t>
  </si>
  <si>
    <t xml:space="preserve">Criação de post com animação 2D</t>
  </si>
  <si>
    <t xml:space="preserve">Sem base</t>
  </si>
  <si>
    <t xml:space="preserve">Não há item identificável como animação 2D. O calendário 2026 tem 55 vídeos publicados jan–set (~73/ano) sem informação de técnica/autoria: se parte for animação 2D produzida pela agência, entra aqui.</t>
  </si>
  <si>
    <t xml:space="preserve">Criação de thumbnail para vídeo</t>
  </si>
  <si>
    <t xml:space="preserve">Nenhuma entrega em 2025 com esse perfil no histórico do Monday → sem base para estimar (preencher com premissa do time se houver demanda prevista).</t>
  </si>
  <si>
    <t xml:space="preserve">Criação de post para blog (texto + imagem)</t>
  </si>
  <si>
    <t xml:space="preserve">Produção de texto livre (1.200 toques)</t>
  </si>
  <si>
    <t xml:space="preserve">3 entregas: 0 alta / 3 média / 0 baixa confiança de mapeamento.</t>
  </si>
  <si>
    <t xml:space="preserve">Branded content / publieditorial</t>
  </si>
  <si>
    <t xml:space="preserve">Criação de identidade visual (key visual)</t>
  </si>
  <si>
    <t xml:space="preserve">KV/identidade de campanhas e programas (1 por campanha). 17 entregas: 0 alta / 17 média / 0 baixa confiança de mapeamento.</t>
  </si>
  <si>
    <t xml:space="preserve">Criação de tema / conceito de campanha</t>
  </si>
  <si>
    <t xml:space="preserve">Conceito/tema de campanha (Mês da Ética, Semana da Inovação, Meses Coloridos, São João, 15 anos). 5 entregas: 0 alta / 5 média / 0 baixa confiança de mapeamento.</t>
  </si>
  <si>
    <t xml:space="preserve">Slogan</t>
  </si>
  <si>
    <t xml:space="preserve">Moodboard</t>
  </si>
  <si>
    <t xml:space="preserve">Planejamento de comunicação integrada</t>
  </si>
  <si>
    <t xml:space="preserve">Planejamento de comunicação 2025 (1 por ano). 1 entregas: 0 alta / 1 média / 0 baixa confiança de mapeamento.</t>
  </si>
  <si>
    <t xml:space="preserve">Planejamento de campanha</t>
  </si>
  <si>
    <t xml:space="preserve">Itens "Planejamento / Planejamento e conceito / Planejamento e KV" de campanhas. Muitos feitos dentro do fee: aqui é consumo potencial, não necessariamente cobrado. 8 entregas: 0 alta / 8 média / 0 baixa confiança de mapeamento.</t>
  </si>
  <si>
    <t xml:space="preserve">Planejamento de mídia</t>
  </si>
  <si>
    <t xml:space="preserve">Inclui planos de mídia explícitos (alta) e itens de "mídia extra / verba extra / impulsionamento" (baixa). 17 entregas: 9 alta / 0 média / 8 baixa confiança de mapeamento.</t>
  </si>
  <si>
    <t xml:space="preserve">Planejamento de ação promocional</t>
  </si>
  <si>
    <t xml:space="preserve">Planejamento de eventos / feiras</t>
  </si>
  <si>
    <t xml:space="preserve">1 entregas: 0 alta / 1 média / 0 baixa confiança de mapeamento.</t>
  </si>
  <si>
    <t xml:space="preserve">Planejamento de brindes</t>
  </si>
  <si>
    <t xml:space="preserve">Planejamento para redes sociais</t>
  </si>
  <si>
    <t xml:space="preserve">Planos de redes por campanha, planejamento de presença social/digital e pautas integradas; 2 de baixa confiança (planejamento de executivos). 10 entregas: 7 alta / 1 média / 2 baixa confiança de mapeamento.</t>
  </si>
  <si>
    <t xml:space="preserve">Diagnóstico da presença digital</t>
  </si>
  <si>
    <t xml:space="preserve">Análise estratégica de dados</t>
  </si>
  <si>
    <t xml:space="preserve">4 entregas: 0 alta / 3 média / 1 baixa confiança de mapeamento.</t>
  </si>
  <si>
    <t xml:space="preserve">Relatório de campanha</t>
  </si>
  <si>
    <t xml:space="preserve">Relatórios digitais por recorte de campanha/projeto. 4 entregas: 3 alta / 0 média / 1 baixa confiança de mapeamento.</t>
  </si>
  <si>
    <t xml:space="preserve">Monitoramento e relatório mensal</t>
  </si>
  <si>
    <t xml:space="preserve">Alta</t>
  </si>
  <si>
    <t xml:space="preserve">Série mensal "Relatório de Listening + Diálogo + Conteúdo + Perf": 13 entregas no calendário 2025 (inclui o de Dez/24 entregue em jan) → 12 por ano. 13 entregas: 13 alta / 0 média / 0 baixa confiança de mapeamento.</t>
  </si>
  <si>
    <t xml:space="preserve">Banner / cartaz / pôster (criação)</t>
  </si>
  <si>
    <t xml:space="preserve">Cartazes, banners impressos/lona/roll-up, backdrops, faixas, wobblers. Inclui 6 anúncios (impresso/digital) sem linha própria no BID, mapeados aqui com baixa confiança. 35 entregas: 30 alta / 0 média / 5 baixa confiança de mapeamento.</t>
  </si>
  <si>
    <t xml:space="preserve">Flyer / volante (criação)</t>
  </si>
  <si>
    <t xml:space="preserve">Flyers/panfletos/ventarolas (alta) e convites (baixa). 13 entregas: 8 alta / 0 média / 5 baixa confiança de mapeamento.</t>
  </si>
  <si>
    <t xml:space="preserve">Folder (criação)</t>
  </si>
  <si>
    <t xml:space="preserve">Folders, cartilhas (inclui cartilha trimestral de maquinistas), guias, livretos, jornal mural. 15 entregas: 0 alta / 14 média / 1 baixa confiança de mapeamento.</t>
  </si>
  <si>
    <t xml:space="preserve">Mala direta</t>
  </si>
  <si>
    <t xml:space="preserve">Email marketing (imagem)</t>
  </si>
  <si>
    <t xml:space="preserve">11 entregas: 11 alta / 0 média / 0 baixa confiança de mapeamento.</t>
  </si>
  <si>
    <t xml:space="preserve">Infográfico (JPG / HTML)</t>
  </si>
  <si>
    <t xml:space="preserve">6 entregas: 0 alta / 0 média / 6 baixa confiança de mapeamento.</t>
  </si>
  <si>
    <t xml:space="preserve">Tabelas / gráficos</t>
  </si>
  <si>
    <t xml:space="preserve">Apresentação multimídia (projeto gráfico)</t>
  </si>
  <si>
    <t xml:space="preserve">Apresentação multimídia (slide adicional)</t>
  </si>
  <si>
    <t xml:space="preserve">Landing page</t>
  </si>
  <si>
    <t xml:space="preserve">3 entregas: 3 alta / 0 média / 0 baixa confiança de mapeamento.</t>
  </si>
  <si>
    <t xml:space="preserve">Hotsite (baixa complexidade)</t>
  </si>
  <si>
    <t xml:space="preserve">Hotsite (média complexidade)</t>
  </si>
  <si>
    <t xml:space="preserve">Roteiro para vídeo até 60”</t>
  </si>
  <si>
    <t xml:space="preserve">Roteiro para vídeo acima de 60”</t>
  </si>
  <si>
    <t xml:space="preserve">Vídeo institucional até 5 minutos</t>
  </si>
  <si>
    <t xml:space="preserve">Duração não registrada: todos os vídeos/filmes foram assumidos ≤5 min (nem todos são produção da agência: vários são PE/ExtraFee com fornecedor). 12 entregas: 0 alta / 12 média / 0 baixa confiança de mapeamento.</t>
  </si>
  <si>
    <t xml:space="preserve">Filme / VT até 60”</t>
  </si>
  <si>
    <t xml:space="preserve">Filme / VT acima de 60”</t>
  </si>
  <si>
    <t xml:space="preserve">Vinheta eletrônica</t>
  </si>
  <si>
    <t xml:space="preserve">4 entregas: 0 alta / 0 média / 4 baixa confiança de mapeamento.</t>
  </si>
  <si>
    <t xml:space="preserve">Banner animado / vídeo digital</t>
  </si>
  <si>
    <t xml:space="preserve">2 entregas: 0 alta / 2 média / 0 baixa confiança de mapeamento.</t>
  </si>
  <si>
    <t xml:space="preserve">Motion design (peças digitais)</t>
  </si>
  <si>
    <t xml:space="preserve">Projeto de branding</t>
  </si>
  <si>
    <t xml:space="preserve">PE Branding Brasil Agritest (ExtraFee). Suas entregas (proposta de marca, manual) aparecem também nas linhas Marca/logotipo e Manual: avaliar se são cobradas à parte ou incluídas no projeto. 1 entregas: 1 alta / 0 média / 0 baixa confiança de mapeamento.</t>
  </si>
  <si>
    <t xml:space="preserve">Marca / logotipo</t>
  </si>
  <si>
    <t xml:space="preserve">5 entregas: 0 alta / 5 média / 0 baixa confiança de mapeamento.</t>
  </si>
  <si>
    <t xml:space="preserve">Nome de marca</t>
  </si>
  <si>
    <t xml:space="preserve">Manual de identidade visual (por lâmina)</t>
  </si>
  <si>
    <t xml:space="preserve">1 manual de marca (Brasil Agritest). Unidade do BID é "por lâmina" e o Monday não registra nº de lâminas: estimar pelo PDF entregue. 1 entregas: 0 alta / 1 média / 0 baixa confiança de mapeamento.</t>
  </si>
  <si>
    <t xml:space="preserve">Programação visual de estande (conceito)</t>
  </si>
  <si>
    <t xml:space="preserve">Projeto de sinalização (conceito)</t>
  </si>
  <si>
    <t xml:space="preserve">Sinalização de ambientes/totens/placas de porta – o BID prevê só "conceito"; produção física é de terceiros. 6 entregas: 0 alta / 6 média / 0 baixa confiança de mapeamento.</t>
  </si>
  <si>
    <t xml:space="preserve">Outdoor / mídia exterior (criação)</t>
  </si>
  <si>
    <t xml:space="preserve">Consultoria – diretor (hora)</t>
  </si>
  <si>
    <t xml:space="preserve">n/d</t>
  </si>
  <si>
    <t xml:space="preserve">O Monday não registra horas por entrega: não é possível estimar a partir do histórico. Sugestão: levantar timesheet da agência ou estimar % de horas sobre o total de jobs.</t>
  </si>
  <si>
    <t xml:space="preserve">Gerente / supervisor (hora)</t>
  </si>
  <si>
    <t xml:space="preserve">Analista / assistente (hora)</t>
  </si>
  <si>
    <t xml:space="preserve">Pesquisa em banco de imagem / vídeo</t>
  </si>
  <si>
    <t xml:space="preserve">Fee mensal</t>
  </si>
  <si>
    <t xml:space="preserve">Item contratual recorrente: 12 meses. Preço RC varia por aba do BID (Publicidade 28.000 / Conteúdo Inst. 29.000 / Comunicação Digital 39.000); aqui usa Publicidade e não entra no total.</t>
  </si>
  <si>
    <t xml:space="preserve">TOTAL em valor – itens variáveis (exclui Fee mensal)</t>
  </si>
  <si>
    <t xml:space="preserve">Como ler</t>
  </si>
  <si>
    <t xml:space="preserve">• Entregue = status Finalizado / Aprovado / Concluído / Veiculando / Em produção gráfica. Cancelado e Reprovado nunca contam.</t>
  </si>
  <si>
    <t xml:space="preserve">• Demandada = entregue + aguardando aprovação/retorno, impedido, standby (teto da demanda real).</t>
  </si>
  <si>
    <t xml:space="preserve">• Estimativa anual = quantidade entregue em 2025 (cobre jan–dez/2025, sem necessidade de anualizar), exceto onde indicado (posts sociais, série mensal, fee).</t>
  </si>
  <si>
    <t xml:space="preserve">• Linhas com "Sem base" não tiveram nenhuma entrega com esse perfil em 2025: o histórico não permite estimar (não significa que a demanda seja zero).</t>
  </si>
  <si>
    <t xml:space="preserve">Fonte</t>
  </si>
  <si>
    <t xml:space="preserve">ID Monday</t>
  </si>
  <si>
    <t xml:space="preserve">Tipo</t>
  </si>
  <si>
    <t xml:space="preserve">Item pai</t>
  </si>
  <si>
    <t xml:space="preserve">Nome do item / subitem</t>
  </si>
  <si>
    <t xml:space="preserve">Data</t>
  </si>
  <si>
    <t xml:space="preserve">Status</t>
  </si>
  <si>
    <t xml:space="preserve">Entregue?</t>
  </si>
  <si>
    <t xml:space="preserve">Demandada?</t>
  </si>
  <si>
    <t xml:space="preserve">Contar?</t>
  </si>
  <si>
    <t xml:space="preserve">Motivo (se não conta)</t>
  </si>
  <si>
    <t xml:space="preserve">Linha do BID (editável)</t>
  </si>
  <si>
    <t xml:space="preserve">Confiança do mapeamento</t>
  </si>
  <si>
    <t xml:space="preserve">Regra aplicada</t>
  </si>
  <si>
    <t xml:space="preserve">Logística (jan–jun/25)</t>
  </si>
  <si>
    <t xml:space="preserve">7472210190</t>
  </si>
  <si>
    <t xml:space="preserve">Subitem</t>
  </si>
  <si>
    <t xml:space="preserve">15 anos</t>
  </si>
  <si>
    <t xml:space="preserve">15 anos - Bench de mercado e big ideas</t>
  </si>
  <si>
    <t xml:space="preserve">Concluído</t>
  </si>
  <si>
    <t xml:space="preserve">Sim</t>
  </si>
  <si>
    <t xml:space="preserve">Conceito/tema de campanha</t>
  </si>
  <si>
    <t xml:space="preserve">7467778491</t>
  </si>
  <si>
    <t xml:space="preserve">Planejamento 2025</t>
  </si>
  <si>
    <t xml:space="preserve">Analise de redes - integração com interno "ou seja"</t>
  </si>
  <si>
    <t xml:space="preserve">Análise de redes sociais (diagnóstico)</t>
  </si>
  <si>
    <t xml:space="preserve">7594117494</t>
  </si>
  <si>
    <t xml:space="preserve">Programa Aumenta o Volume</t>
  </si>
  <si>
    <t xml:space="preserve">Identidade</t>
  </si>
  <si>
    <t xml:space="preserve">Key visual / identidade de campanha</t>
  </si>
  <si>
    <t xml:space="preserve">7685983494</t>
  </si>
  <si>
    <t xml:space="preserve">Convite</t>
  </si>
  <si>
    <t xml:space="preserve">Convite (peça única)</t>
  </si>
  <si>
    <t xml:space="preserve">7707205882</t>
  </si>
  <si>
    <t xml:space="preserve">Header de email</t>
  </si>
  <si>
    <t xml:space="preserve">E-mail marketing</t>
  </si>
  <si>
    <t xml:space="preserve">7728206336</t>
  </si>
  <si>
    <t xml:space="preserve">Assinatura do progrmaa</t>
  </si>
  <si>
    <t xml:space="preserve">Assinatura/marca de programa</t>
  </si>
  <si>
    <t xml:space="preserve">7707188867</t>
  </si>
  <si>
    <t xml:space="preserve">Fundo teams</t>
  </si>
  <si>
    <t xml:space="preserve">Peça digital estática (card/fundo/header)</t>
  </si>
  <si>
    <t xml:space="preserve">7715293526</t>
  </si>
  <si>
    <t xml:space="preserve">PE - Adaptação de vídeo</t>
  </si>
  <si>
    <t xml:space="preserve">Vídeo/filme (duração não informada → ≤5 min)</t>
  </si>
  <si>
    <t xml:space="preserve">7728591737</t>
  </si>
  <si>
    <t xml:space="preserve">Template de ppt</t>
  </si>
  <si>
    <t xml:space="preserve">Apresentação/template</t>
  </si>
  <si>
    <t xml:space="preserve">7793736130</t>
  </si>
  <si>
    <t xml:space="preserve">PE - Roteiro - Vídeo Lançamento/Engajamento</t>
  </si>
  <si>
    <t xml:space="preserve">Roteiro de vídeo (duração não informada)</t>
  </si>
  <si>
    <t xml:space="preserve">7836587629</t>
  </si>
  <si>
    <t xml:space="preserve">tela de volumometro</t>
  </si>
  <si>
    <t xml:space="preserve">Peça digital estática</t>
  </si>
  <si>
    <t xml:space="preserve">7806786527</t>
  </si>
  <si>
    <t xml:space="preserve">PE - Efeito sonoro assinatura</t>
  </si>
  <si>
    <t xml:space="preserve">Áudio (efeito/trilha) ~ vinheta</t>
  </si>
  <si>
    <t xml:space="preserve">7707177893</t>
  </si>
  <si>
    <t xml:space="preserve">Pagamento Lucas Marçal - Toolkit</t>
  </si>
  <si>
    <t xml:space="preserve">Não</t>
  </si>
  <si>
    <t xml:space="preserve">Administrativo / reunião / pagamento</t>
  </si>
  <si>
    <t xml:space="preserve">Não contar – administrativo / reunião / pagamento</t>
  </si>
  <si>
    <t xml:space="preserve">Reunião / pagamento / administrativo</t>
  </si>
  <si>
    <t xml:space="preserve">7807025710</t>
  </si>
  <si>
    <t xml:space="preserve">Móbile de teto</t>
  </si>
  <si>
    <t xml:space="preserve">Fora do BID – produção gráfica / brindes / outros</t>
  </si>
  <si>
    <t xml:space="preserve">Produção gráfica / brindes / ambientação (sem linha no BID)</t>
  </si>
  <si>
    <t xml:space="preserve">7815298555</t>
  </si>
  <si>
    <t xml:space="preserve">Ou seja executivos</t>
  </si>
  <si>
    <t xml:space="preserve">Planejamento de presença de executivos</t>
  </si>
  <si>
    <t xml:space="preserve">7836600643</t>
  </si>
  <si>
    <t xml:space="preserve">Cartaz</t>
  </si>
  <si>
    <t xml:space="preserve">Banner/cartaz/pôster</t>
  </si>
  <si>
    <t xml:space="preserve">7836601458</t>
  </si>
  <si>
    <t xml:space="preserve">Banner intranet</t>
  </si>
  <si>
    <t xml:space="preserve">Banner digital (intranet/site) = peça estática digital</t>
  </si>
  <si>
    <t xml:space="preserve">7798265193</t>
  </si>
  <si>
    <t xml:space="preserve">Adesivo de capacete</t>
  </si>
  <si>
    <t xml:space="preserve">7807753953</t>
  </si>
  <si>
    <t xml:space="preserve">Cordões de crachá</t>
  </si>
  <si>
    <t xml:space="preserve">7847171375</t>
  </si>
  <si>
    <t xml:space="preserve">PE - Branding Brasil Agritest</t>
  </si>
  <si>
    <t xml:space="preserve">Proposta de marca</t>
  </si>
  <si>
    <t xml:space="preserve">8022471257</t>
  </si>
  <si>
    <t xml:space="preserve">Cartaz PodAumentar</t>
  </si>
  <si>
    <t xml:space="preserve">7824455485</t>
  </si>
  <si>
    <t xml:space="preserve">PE - Sessão de fotos</t>
  </si>
  <si>
    <t xml:space="preserve">7637879024</t>
  </si>
  <si>
    <t xml:space="preserve">Item</t>
  </si>
  <si>
    <t xml:space="preserve">Sinalização sala de atendimento TILD - Sede</t>
  </si>
  <si>
    <t xml:space="preserve">Cancelado</t>
  </si>
  <si>
    <t xml:space="preserve">Sinalização</t>
  </si>
  <si>
    <t xml:space="preserve">7947125262</t>
  </si>
  <si>
    <t xml:space="preserve">Selo 'Orgulho VLI'</t>
  </si>
  <si>
    <t xml:space="preserve">8194364818</t>
  </si>
  <si>
    <t xml:space="preserve">Email MKT Prêmio RF</t>
  </si>
  <si>
    <t xml:space="preserve">2025</t>
  </si>
  <si>
    <t xml:space="preserve">Aguardando aprovação</t>
  </si>
  <si>
    <t xml:space="preserve">Fora do BID – etapa / orçamento de produção</t>
  </si>
  <si>
    <t xml:space="preserve">Etapa sem nome</t>
  </si>
  <si>
    <t xml:space="preserve">7846207869</t>
  </si>
  <si>
    <t xml:space="preserve">Campanha P - Janeiro Branco</t>
  </si>
  <si>
    <t xml:space="preserve">Finalizado</t>
  </si>
  <si>
    <t xml:space="preserve">Contêiner: contam os subitens</t>
  </si>
  <si>
    <t xml:space="preserve">Fora do BID – campanha sem detalhamento de peças</t>
  </si>
  <si>
    <t xml:space="preserve">Campanha sem detalhamento de peças</t>
  </si>
  <si>
    <t xml:space="preserve">8195636971</t>
  </si>
  <si>
    <t xml:space="preserve">Bannet intranet</t>
  </si>
  <si>
    <t xml:space="preserve">8195643275</t>
  </si>
  <si>
    <t xml:space="preserve">Walpaper</t>
  </si>
  <si>
    <t xml:space="preserve">8203697728</t>
  </si>
  <si>
    <t xml:space="preserve">8134209079</t>
  </si>
  <si>
    <t xml:space="preserve">Folder Estação de Memórias</t>
  </si>
  <si>
    <t xml:space="preserve">Orçamento</t>
  </si>
  <si>
    <t xml:space="preserve">Etapa/orçamento/apoio (não é entregável de criação)</t>
  </si>
  <si>
    <t xml:space="preserve">7007505980</t>
  </si>
  <si>
    <t xml:space="preserve">7024760936</t>
  </si>
  <si>
    <t xml:space="preserve">Empregados</t>
  </si>
  <si>
    <t xml:space="preserve">7024761404</t>
  </si>
  <si>
    <t xml:space="preserve">Fornecedores</t>
  </si>
  <si>
    <t xml:space="preserve">7024762104</t>
  </si>
  <si>
    <t xml:space="preserve">Clientes</t>
  </si>
  <si>
    <t xml:space="preserve">8215189253</t>
  </si>
  <si>
    <t xml:space="preserve">Relatório de Listening + Diálogo + Conteúdo + Perf | Dezembro 2024</t>
  </si>
  <si>
    <t xml:space="preserve">Relatório mensal Listening+Diálogo+Conteúdo+Perf</t>
  </si>
  <si>
    <t xml:space="preserve">7953863789</t>
  </si>
  <si>
    <t xml:space="preserve">Uno ESG</t>
  </si>
  <si>
    <t xml:space="preserve">Layout</t>
  </si>
  <si>
    <t xml:space="preserve">8119499194</t>
  </si>
  <si>
    <t xml:space="preserve">Plaquinha de locomotiva</t>
  </si>
  <si>
    <t xml:space="preserve">8235719119</t>
  </si>
  <si>
    <t xml:space="preserve">Planejamento comunicação 2025</t>
  </si>
  <si>
    <t xml:space="preserve">Planejamento anual de comunicação</t>
  </si>
  <si>
    <t xml:space="preserve">8182850798</t>
  </si>
  <si>
    <t xml:space="preserve">Anúncios Aniversário Santos e Porto 2025</t>
  </si>
  <si>
    <t xml:space="preserve">Anúncio impresso/digital (sem linha própria) ~ banner/cartaz</t>
  </si>
  <si>
    <t xml:space="preserve">8251743899</t>
  </si>
  <si>
    <t xml:space="preserve">Plano de mídia</t>
  </si>
  <si>
    <t xml:space="preserve">Aguardando Retorno - Cliente</t>
  </si>
  <si>
    <t xml:space="preserve">8251813678</t>
  </si>
  <si>
    <t xml:space="preserve">Layout anuncio Santos</t>
  </si>
  <si>
    <t xml:space="preserve">8251814926</t>
  </si>
  <si>
    <t xml:space="preserve">Layout Anuncio porto de santos</t>
  </si>
  <si>
    <t xml:space="preserve">8259565063</t>
  </si>
  <si>
    <t xml:space="preserve">Pautas integradas - JAN/FEV</t>
  </si>
  <si>
    <t xml:space="preserve">Pauta/planejamento editorial</t>
  </si>
  <si>
    <t xml:space="preserve">8227502219</t>
  </si>
  <si>
    <t xml:space="preserve">Troféu / placa de reconhecimento GPTW - Unidade com mais respondentes</t>
  </si>
  <si>
    <t xml:space="preserve">7798220499</t>
  </si>
  <si>
    <t xml:space="preserve">PIN</t>
  </si>
  <si>
    <t xml:space="preserve">7939194226</t>
  </si>
  <si>
    <t xml:space="preserve">Planejamento Executivos</t>
  </si>
  <si>
    <t xml:space="preserve">8172869742</t>
  </si>
  <si>
    <t xml:space="preserve">Relatório anual 2024</t>
  </si>
  <si>
    <t xml:space="preserve">7678939261</t>
  </si>
  <si>
    <t xml:space="preserve">Orçamentos brindes variados</t>
  </si>
  <si>
    <t xml:space="preserve">7967563352</t>
  </si>
  <si>
    <t xml:space="preserve">Brindes Braços Abertos</t>
  </si>
  <si>
    <t xml:space="preserve">8251297502</t>
  </si>
  <si>
    <t xml:space="preserve">Orçamento - Compra verificado Instagram</t>
  </si>
  <si>
    <t xml:space="preserve">Reprovado</t>
  </si>
  <si>
    <t xml:space="preserve">8076564549</t>
  </si>
  <si>
    <t xml:space="preserve">Peça multipágina (folder/cartilha/guia)</t>
  </si>
  <si>
    <t xml:space="preserve">7953751426</t>
  </si>
  <si>
    <t xml:space="preserve">Sinalização TIUB</t>
  </si>
  <si>
    <t xml:space="preserve">8190170064</t>
  </si>
  <si>
    <t xml:space="preserve">Dia do Portuário</t>
  </si>
  <si>
    <t xml:space="preserve">Sem classificação</t>
  </si>
  <si>
    <t xml:space="preserve">Sem regra</t>
  </si>
  <si>
    <t xml:space="preserve">8223914803</t>
  </si>
  <si>
    <t xml:space="preserve">Período de Carnaval 2025</t>
  </si>
  <si>
    <t xml:space="preserve">Ventarola</t>
  </si>
  <si>
    <t xml:space="preserve">Flyer/volante</t>
  </si>
  <si>
    <t xml:space="preserve">8223916206</t>
  </si>
  <si>
    <t xml:space="preserve">Flyer</t>
  </si>
  <si>
    <t xml:space="preserve">8022639914</t>
  </si>
  <si>
    <t xml:space="preserve">Planilha base para produção gráfica 2025</t>
  </si>
  <si>
    <t xml:space="preserve">Documento interno / apoio</t>
  </si>
  <si>
    <t xml:space="preserve">7965570757</t>
  </si>
  <si>
    <t xml:space="preserve">Kit Boas-Vindas Licença Maternidade</t>
  </si>
  <si>
    <t xml:space="preserve">8282860629</t>
  </si>
  <si>
    <t xml:space="preserve">Novas placas - Estação de Memórias</t>
  </si>
  <si>
    <t xml:space="preserve">8203224010</t>
  </si>
  <si>
    <t xml:space="preserve">Revitalização KV Carreira e Sucessão 2025</t>
  </si>
  <si>
    <t xml:space="preserve">8280081958</t>
  </si>
  <si>
    <t xml:space="preserve">Telas</t>
  </si>
  <si>
    <t xml:space="preserve">8370896813</t>
  </si>
  <si>
    <t xml:space="preserve">Nova saída</t>
  </si>
  <si>
    <t xml:space="preserve">8389444901</t>
  </si>
  <si>
    <t xml:space="preserve">Cartão de cultura</t>
  </si>
  <si>
    <t xml:space="preserve">8374090306</t>
  </si>
  <si>
    <t xml:space="preserve">PE - Concurso de marchinhas</t>
  </si>
  <si>
    <t xml:space="preserve">Vídeo lançamento</t>
  </si>
  <si>
    <t xml:space="preserve">8279785200</t>
  </si>
  <si>
    <t xml:space="preserve">Card para PINS</t>
  </si>
  <si>
    <t xml:space="preserve">8134345882</t>
  </si>
  <si>
    <t xml:space="preserve">Botton time de Cultura</t>
  </si>
  <si>
    <t xml:space="preserve">8022982332</t>
  </si>
  <si>
    <t xml:space="preserve">Planejamento Presença Social</t>
  </si>
  <si>
    <t xml:space="preserve">Planejamento de redes sociais</t>
  </si>
  <si>
    <t xml:space="preserve">7930717194</t>
  </si>
  <si>
    <t xml:space="preserve">Revisão de metas e KPIs</t>
  </si>
  <si>
    <t xml:space="preserve">Análise/KPIs</t>
  </si>
  <si>
    <t xml:space="preserve">8374337112</t>
  </si>
  <si>
    <t xml:space="preserve">Novos PINs</t>
  </si>
  <si>
    <t xml:space="preserve">8212399006</t>
  </si>
  <si>
    <t xml:space="preserve">Materiais fixos para Ética</t>
  </si>
  <si>
    <t xml:space="preserve">8213582405</t>
  </si>
  <si>
    <t xml:space="preserve">Adesivo para banheiro</t>
  </si>
  <si>
    <t xml:space="preserve">8441731215</t>
  </si>
  <si>
    <t xml:space="preserve">Relatório de Listening + Diálogo + Conteúdo + Perf | Janeiro 2025</t>
  </si>
  <si>
    <t xml:space="preserve">8389935411</t>
  </si>
  <si>
    <t xml:space="preserve">Pagamento - Lucas Marçal - Apresentação ITL</t>
  </si>
  <si>
    <t xml:space="preserve">8190991253</t>
  </si>
  <si>
    <t xml:space="preserve">Ambientação Coleta Seletiva</t>
  </si>
  <si>
    <t xml:space="preserve">8386601364</t>
  </si>
  <si>
    <t xml:space="preserve">Régua de Emails</t>
  </si>
  <si>
    <t xml:space="preserve">8442096365</t>
  </si>
  <si>
    <t xml:space="preserve">Ventarola empregados VLI</t>
  </si>
  <si>
    <t xml:space="preserve">8427861624</t>
  </si>
  <si>
    <t xml:space="preserve">Baixar fotos/vídeos</t>
  </si>
  <si>
    <t xml:space="preserve">8412520808</t>
  </si>
  <si>
    <t xml:space="preserve">Cartão Postal Cultura</t>
  </si>
  <si>
    <t xml:space="preserve">7967717840</t>
  </si>
  <si>
    <t xml:space="preserve">Caixa Estação de Memórias</t>
  </si>
  <si>
    <t xml:space="preserve">8399646695</t>
  </si>
  <si>
    <t xml:space="preserve">Convite - Fórum Segurança da Informação</t>
  </si>
  <si>
    <t xml:space="preserve">8441428739</t>
  </si>
  <si>
    <t xml:space="preserve">Totem Divinópolis</t>
  </si>
  <si>
    <t xml:space="preserve">8413142894</t>
  </si>
  <si>
    <t xml:space="preserve">Manual de marca</t>
  </si>
  <si>
    <t xml:space="preserve">Manual de marca (nº de lâminas desconhecido)</t>
  </si>
  <si>
    <t xml:space="preserve">8413143943</t>
  </si>
  <si>
    <t xml:space="preserve">Saídas de arquivos</t>
  </si>
  <si>
    <t xml:space="preserve">8499598474</t>
  </si>
  <si>
    <t xml:space="preserve">Alteração Guia de Parceiros VLI</t>
  </si>
  <si>
    <t xml:space="preserve">8442386368</t>
  </si>
  <si>
    <t xml:space="preserve">6605.9 Cartilha/Flyer para maquinistas - 5ª edição</t>
  </si>
  <si>
    <t xml:space="preserve">6605.9 Cartilha/Flyer para maquinistas - 1º Trimestre 2025</t>
  </si>
  <si>
    <t xml:space="preserve">8298730918</t>
  </si>
  <si>
    <t xml:space="preserve">PE - Diagramação - Relatório de Ética e Conformidade 2024</t>
  </si>
  <si>
    <t xml:space="preserve">Diagramação de relatório (peça multipágina)</t>
  </si>
  <si>
    <t xml:space="preserve">7613076702</t>
  </si>
  <si>
    <t xml:space="preserve">7847181920</t>
  </si>
  <si>
    <t xml:space="preserve">Planejamento</t>
  </si>
  <si>
    <t xml:space="preserve">7967429985</t>
  </si>
  <si>
    <t xml:space="preserve">Brindes VLI Solidária</t>
  </si>
  <si>
    <t xml:space="preserve">7911313017</t>
  </si>
  <si>
    <t xml:space="preserve">8496688540</t>
  </si>
  <si>
    <t xml:space="preserve">Novo Selo</t>
  </si>
  <si>
    <t xml:space="preserve">8530686104</t>
  </si>
  <si>
    <t xml:space="preserve">orç. Vídeo Marcos História VLI - Encontro de Líderes</t>
  </si>
  <si>
    <t xml:space="preserve">Aprovado</t>
  </si>
  <si>
    <t xml:space="preserve">8530860015</t>
  </si>
  <si>
    <t xml:space="preserve">orç. Vídeo Lyric Manifesto - Encontro de Sócios</t>
  </si>
  <si>
    <t xml:space="preserve">8496678871</t>
  </si>
  <si>
    <t xml:space="preserve">Filme manifesto - Principal campanha</t>
  </si>
  <si>
    <t xml:space="preserve">8531054562</t>
  </si>
  <si>
    <t xml:space="preserve">PINs</t>
  </si>
  <si>
    <t xml:space="preserve">8531168972</t>
  </si>
  <si>
    <t xml:space="preserve">Projeção mapeada sede BH</t>
  </si>
  <si>
    <t xml:space="preserve">Jogo/brinde/ativação: sem linha no BID</t>
  </si>
  <si>
    <t xml:space="preserve">8519926962</t>
  </si>
  <si>
    <t xml:space="preserve">Caravana de Cultura</t>
  </si>
  <si>
    <t xml:space="preserve">Orçamento quebra cabeça</t>
  </si>
  <si>
    <t xml:space="preserve">7953862090</t>
  </si>
  <si>
    <t xml:space="preserve">8407582116</t>
  </si>
  <si>
    <t xml:space="preserve">Vídeos - Finalistas</t>
  </si>
  <si>
    <t xml:space="preserve">8060185018</t>
  </si>
  <si>
    <t xml:space="preserve">Jornada ESG</t>
  </si>
  <si>
    <t xml:space="preserve">8061094946</t>
  </si>
  <si>
    <t xml:space="preserve">Planejamento e Conceito</t>
  </si>
  <si>
    <t xml:space="preserve">8526839761</t>
  </si>
  <si>
    <t xml:space="preserve">8375085198</t>
  </si>
  <si>
    <t xml:space="preserve">8375060848</t>
  </si>
  <si>
    <t xml:space="preserve">Wallpaper</t>
  </si>
  <si>
    <t xml:space="preserve">8373606009</t>
  </si>
  <si>
    <t xml:space="preserve">Banner Intranet</t>
  </si>
  <si>
    <t xml:space="preserve">8374989673</t>
  </si>
  <si>
    <t xml:space="preserve">Banner home site</t>
  </si>
  <si>
    <t xml:space="preserve">8279854593</t>
  </si>
  <si>
    <t xml:space="preserve">Adesivo para espelho</t>
  </si>
  <si>
    <t xml:space="preserve">Impedido</t>
  </si>
  <si>
    <t xml:space="preserve">8061095459</t>
  </si>
  <si>
    <t xml:space="preserve">Brinde - planner</t>
  </si>
  <si>
    <t xml:space="preserve">8250946985</t>
  </si>
  <si>
    <t xml:space="preserve">Tag de crachá</t>
  </si>
  <si>
    <t xml:space="preserve">8279852396</t>
  </si>
  <si>
    <t xml:space="preserve">Cartaz para jornal mural</t>
  </si>
  <si>
    <t xml:space="preserve">Falta info</t>
  </si>
  <si>
    <t xml:space="preserve">8279853167</t>
  </si>
  <si>
    <t xml:space="preserve">Cartaz geral campanha</t>
  </si>
  <si>
    <t xml:space="preserve">8279853938</t>
  </si>
  <si>
    <t xml:space="preserve">Banner roll up</t>
  </si>
  <si>
    <t xml:space="preserve">8300871333</t>
  </si>
  <si>
    <t xml:space="preserve">Brinde - caderno para clientes e poder público</t>
  </si>
  <si>
    <t xml:space="preserve">8399625691</t>
  </si>
  <si>
    <t xml:space="preserve">Capa do Viva Engage</t>
  </si>
  <si>
    <t xml:space="preserve">8571890356</t>
  </si>
  <si>
    <t xml:space="preserve">ARCOS - Retirada de Canceleiros em PNs</t>
  </si>
  <si>
    <t xml:space="preserve">8571892618</t>
  </si>
  <si>
    <t xml:space="preserve">Faixa de trânsito</t>
  </si>
  <si>
    <t xml:space="preserve">Mídia exterior</t>
  </si>
  <si>
    <t xml:space="preserve">8566203595</t>
  </si>
  <si>
    <t xml:space="preserve">Material e Evidências de Comunicação para Relatório do IBAMA</t>
  </si>
  <si>
    <t xml:space="preserve">Compilado de evidências p/ relatório</t>
  </si>
  <si>
    <t xml:space="preserve">8578082655</t>
  </si>
  <si>
    <t xml:space="preserve">Desdobramentos Aumenta o volume - 2ª onda</t>
  </si>
  <si>
    <t xml:space="preserve">Wobbler</t>
  </si>
  <si>
    <t xml:space="preserve">7815131109</t>
  </si>
  <si>
    <t xml:space="preserve">8022988311</t>
  </si>
  <si>
    <t xml:space="preserve">Mapeamento de fornecedores</t>
  </si>
  <si>
    <t xml:space="preserve">8556303175</t>
  </si>
  <si>
    <t xml:space="preserve">Guia de Consulta digital</t>
  </si>
  <si>
    <t xml:space="preserve">8662914654</t>
  </si>
  <si>
    <t xml:space="preserve">Estudo direitos humanos e meta</t>
  </si>
  <si>
    <t xml:space="preserve">Estudo/análise</t>
  </si>
  <si>
    <t xml:space="preserve">8213595959</t>
  </si>
  <si>
    <t xml:space="preserve">Cartaz 1</t>
  </si>
  <si>
    <t xml:space="preserve">8213596767</t>
  </si>
  <si>
    <t xml:space="preserve">Cartaz 2</t>
  </si>
  <si>
    <t xml:space="preserve">8213597298</t>
  </si>
  <si>
    <t xml:space="preserve">Cartaz 3</t>
  </si>
  <si>
    <t xml:space="preserve">7953863436</t>
  </si>
  <si>
    <t xml:space="preserve">8520754158</t>
  </si>
  <si>
    <t xml:space="preserve">Encontro de líderes - março</t>
  </si>
  <si>
    <t xml:space="preserve">8521493358</t>
  </si>
  <si>
    <t xml:space="preserve">Backdrop</t>
  </si>
  <si>
    <t xml:space="preserve">8335163626</t>
  </si>
  <si>
    <t xml:space="preserve">VLI em dia - 2025</t>
  </si>
  <si>
    <t xml:space="preserve">8223909859</t>
  </si>
  <si>
    <t xml:space="preserve">8278559071</t>
  </si>
  <si>
    <t xml:space="preserve">Mídia off</t>
  </si>
  <si>
    <t xml:space="preserve">Mídia (plano/verba extra)</t>
  </si>
  <si>
    <t xml:space="preserve">8278559695</t>
  </si>
  <si>
    <t xml:space="preserve">Mídia on</t>
  </si>
  <si>
    <t xml:space="preserve">8080222686</t>
  </si>
  <si>
    <t xml:space="preserve">Assinatura - Maquinista Modelo</t>
  </si>
  <si>
    <t xml:space="preserve">8084786804</t>
  </si>
  <si>
    <t xml:space="preserve">Orçamento - troféus de reconhecimento MGV 2024</t>
  </si>
  <si>
    <t xml:space="preserve">8451900838</t>
  </si>
  <si>
    <t xml:space="preserve">Folder Riscos Críticos</t>
  </si>
  <si>
    <t xml:space="preserve">8571891365</t>
  </si>
  <si>
    <t xml:space="preserve">7707243979</t>
  </si>
  <si>
    <t xml:space="preserve">Cartilha de alimentação saudável</t>
  </si>
  <si>
    <t xml:space="preserve">8714939584</t>
  </si>
  <si>
    <t xml:space="preserve">Empreendedores Inova VLI</t>
  </si>
  <si>
    <t xml:space="preserve">Banner pagina</t>
  </si>
  <si>
    <t xml:space="preserve">7909173722</t>
  </si>
  <si>
    <t xml:space="preserve">7940201447</t>
  </si>
  <si>
    <t xml:space="preserve">Orçamento kit</t>
  </si>
  <si>
    <t xml:space="preserve">Apurando</t>
  </si>
  <si>
    <t xml:space="preserve">8556858133</t>
  </si>
  <si>
    <t xml:space="preserve">Relatório de Listening + Diálogo + Conteúdo + Perf | Fevereiro 2025</t>
  </si>
  <si>
    <t xml:space="preserve">8506278149</t>
  </si>
  <si>
    <t xml:space="preserve">8506282462</t>
  </si>
  <si>
    <t xml:space="preserve">Plano de comunicação</t>
  </si>
  <si>
    <t xml:space="preserve">CLIENTE</t>
  </si>
  <si>
    <t xml:space="preserve">8516021572</t>
  </si>
  <si>
    <t xml:space="preserve">Mote da 6ª edição</t>
  </si>
  <si>
    <t xml:space="preserve">8556771451</t>
  </si>
  <si>
    <t xml:space="preserve">KV</t>
  </si>
  <si>
    <t xml:space="preserve">8714942574</t>
  </si>
  <si>
    <t xml:space="preserve">8714943231</t>
  </si>
  <si>
    <t xml:space="preserve">8455797573</t>
  </si>
  <si>
    <t xml:space="preserve">Fundo de tela - Reconhecimento MGV</t>
  </si>
  <si>
    <t xml:space="preserve">8519925849</t>
  </si>
  <si>
    <t xml:space="preserve">Planejamento e ID</t>
  </si>
  <si>
    <t xml:space="preserve">8308170781</t>
  </si>
  <si>
    <t xml:space="preserve">Camiseta Pelotão Tiplam - Tribuna</t>
  </si>
  <si>
    <t xml:space="preserve">8354138144</t>
  </si>
  <si>
    <t xml:space="preserve">8364985035</t>
  </si>
  <si>
    <t xml:space="preserve">8365026056</t>
  </si>
  <si>
    <t xml:space="preserve">Regulamento</t>
  </si>
  <si>
    <t xml:space="preserve">8390115540</t>
  </si>
  <si>
    <t xml:space="preserve">Orçamento komuh</t>
  </si>
  <si>
    <t xml:space="preserve">8407581118</t>
  </si>
  <si>
    <t xml:space="preserve">Músicas - Finalistas</t>
  </si>
  <si>
    <t xml:space="preserve">8428602086</t>
  </si>
  <si>
    <t xml:space="preserve">Compra de cupom ifood</t>
  </si>
  <si>
    <t xml:space="preserve">8779028941</t>
  </si>
  <si>
    <t xml:space="preserve">PE - Cobertura evento Fórum ESG</t>
  </si>
  <si>
    <t xml:space="preserve">8775192327</t>
  </si>
  <si>
    <t xml:space="preserve">Banner</t>
  </si>
  <si>
    <t xml:space="preserve">8768763814</t>
  </si>
  <si>
    <t xml:space="preserve">Maio Amarelo</t>
  </si>
  <si>
    <t xml:space="preserve">Defesa/definição de conceito</t>
  </si>
  <si>
    <t xml:space="preserve">8779518719</t>
  </si>
  <si>
    <t xml:space="preserve">Planejamento de Publicações - Vênus - Vitória Minas</t>
  </si>
  <si>
    <t xml:space="preserve">7778271699</t>
  </si>
  <si>
    <t xml:space="preserve">Kit Onboarding</t>
  </si>
  <si>
    <t xml:space="preserve">8639466878</t>
  </si>
  <si>
    <t xml:space="preserve">Abril Verde - Campanha P</t>
  </si>
  <si>
    <t xml:space="preserve">8422251326</t>
  </si>
  <si>
    <t xml:space="preserve">Convite - Trilha de Inovação e Digital</t>
  </si>
  <si>
    <t xml:space="preserve">8572520820</t>
  </si>
  <si>
    <t xml:space="preserve">PE - 15 anos - Vídeo Encontro de Líderes</t>
  </si>
  <si>
    <t xml:space="preserve">8746212568</t>
  </si>
  <si>
    <t xml:space="preserve">Intermodal - MAPA VLI 2025</t>
  </si>
  <si>
    <t xml:space="preserve">8698181687</t>
  </si>
  <si>
    <t xml:space="preserve">PE - Vídeos stand Intermodal - "Mês do Cliente"</t>
  </si>
  <si>
    <t xml:space="preserve">6866175472</t>
  </si>
  <si>
    <t xml:space="preserve">Mapa TPSL - Parede</t>
  </si>
  <si>
    <t xml:space="preserve">Mapa/infográfico</t>
  </si>
  <si>
    <t xml:space="preserve">8578084438</t>
  </si>
  <si>
    <t xml:space="preserve">Adesivo para catraca</t>
  </si>
  <si>
    <t xml:space="preserve">8725338465</t>
  </si>
  <si>
    <t xml:space="preserve">8801111238</t>
  </si>
  <si>
    <t xml:space="preserve">Novo orçamento - localidades</t>
  </si>
  <si>
    <t xml:space="preserve">7594116823</t>
  </si>
  <si>
    <t xml:space="preserve">7836578287</t>
  </si>
  <si>
    <t xml:space="preserve">Placa para supervisores</t>
  </si>
  <si>
    <t xml:space="preserve">7594117234</t>
  </si>
  <si>
    <t xml:space="preserve">7707220889</t>
  </si>
  <si>
    <t xml:space="preserve">Orçamentos Komuh - Produção eletrônica</t>
  </si>
  <si>
    <t xml:space="preserve">7734236165</t>
  </si>
  <si>
    <t xml:space="preserve">Orçamento roteiro vídeo</t>
  </si>
  <si>
    <t xml:space="preserve">7806214641</t>
  </si>
  <si>
    <t xml:space="preserve">PE - PodAumentar</t>
  </si>
  <si>
    <t xml:space="preserve">7806779275</t>
  </si>
  <si>
    <t xml:space="preserve">PE - Trilha</t>
  </si>
  <si>
    <t xml:space="preserve">7807671697</t>
  </si>
  <si>
    <t xml:space="preserve">Letra caixa</t>
  </si>
  <si>
    <t xml:space="preserve">8351503898</t>
  </si>
  <si>
    <t xml:space="preserve">8845824908</t>
  </si>
  <si>
    <t xml:space="preserve">Adesivo de capacete - VLI Solidária</t>
  </si>
  <si>
    <t xml:space="preserve">8845659820</t>
  </si>
  <si>
    <t xml:space="preserve">Cartilha da licença-maternidade (extra fee)</t>
  </si>
  <si>
    <t xml:space="preserve">8842434220</t>
  </si>
  <si>
    <t xml:space="preserve">Cards edital BIP</t>
  </si>
  <si>
    <t xml:space="preserve">8741712233</t>
  </si>
  <si>
    <t xml:space="preserve">8876160573</t>
  </si>
  <si>
    <t xml:space="preserve">Relatório de Listening + Diálogo + Conteúdo + Perf | Março 2025</t>
  </si>
  <si>
    <t xml:space="preserve">8856777993</t>
  </si>
  <si>
    <t xml:space="preserve">PE -15 anos - Landing page</t>
  </si>
  <si>
    <t xml:space="preserve">8841205233</t>
  </si>
  <si>
    <t xml:space="preserve">Serviço de
panfletagem</t>
  </si>
  <si>
    <t xml:space="preserve">Veiculação/ação de mídia (sem linha de criação)</t>
  </si>
  <si>
    <t xml:space="preserve">6093610354</t>
  </si>
  <si>
    <t xml:space="preserve">Sinalização de ambientes Sede BH</t>
  </si>
  <si>
    <t xml:space="preserve">6145066021</t>
  </si>
  <si>
    <t xml:space="preserve">Orçamento placas e adesivo</t>
  </si>
  <si>
    <t xml:space="preserve">Orçando</t>
  </si>
  <si>
    <t xml:space="preserve">6145068254</t>
  </si>
  <si>
    <t xml:space="preserve">Layout totem</t>
  </si>
  <si>
    <t xml:space="preserve">Finalizando Arquivo</t>
  </si>
  <si>
    <t xml:space="preserve">8251336359</t>
  </si>
  <si>
    <t xml:space="preserve">Placas de porta - Proteção ao negócio - Sede BH</t>
  </si>
  <si>
    <t xml:space="preserve">8694372548</t>
  </si>
  <si>
    <t xml:space="preserve">PE - 15 anos - Vídeo Encontro de Sócios</t>
  </si>
  <si>
    <t xml:space="preserve">8726600049</t>
  </si>
  <si>
    <t xml:space="preserve">Orçamento Rubinho</t>
  </si>
  <si>
    <t xml:space="preserve">8888518816</t>
  </si>
  <si>
    <t xml:space="preserve">Gravação de Spot - Rádio 2 - nota esclarecimento</t>
  </si>
  <si>
    <t xml:space="preserve">Veiculando</t>
  </si>
  <si>
    <t xml:space="preserve">Áudio (spot/trilha/efeito) ~ vinheta</t>
  </si>
  <si>
    <t xml:space="preserve">8916709251</t>
  </si>
  <si>
    <t xml:space="preserve">Orçamento Locução Rubinho</t>
  </si>
  <si>
    <t xml:space="preserve">8733020743</t>
  </si>
  <si>
    <t xml:space="preserve">Dr. VLI</t>
  </si>
  <si>
    <t xml:space="preserve">8909693726</t>
  </si>
  <si>
    <t xml:space="preserve">15 anos - fundo teams</t>
  </si>
  <si>
    <t xml:space="preserve">8900276423</t>
  </si>
  <si>
    <t xml:space="preserve">15 anos - Wallpaper</t>
  </si>
  <si>
    <t xml:space="preserve">8462711869</t>
  </si>
  <si>
    <t xml:space="preserve">Redação Valor Inovação 2025</t>
  </si>
  <si>
    <t xml:space="preserve">Redação de texto</t>
  </si>
  <si>
    <t xml:space="preserve">8831296949</t>
  </si>
  <si>
    <t xml:space="preserve">Dado e cartas - Feira de Benefícios</t>
  </si>
  <si>
    <t xml:space="preserve">Layout Dado</t>
  </si>
  <si>
    <t xml:space="preserve">Layout de brinde/envelope</t>
  </si>
  <si>
    <t xml:space="preserve">8496904613</t>
  </si>
  <si>
    <t xml:space="preserve">Plano de mídia intermodal</t>
  </si>
  <si>
    <t xml:space="preserve">8496974888</t>
  </si>
  <si>
    <t xml:space="preserve">8894639147</t>
  </si>
  <si>
    <t xml:space="preserve">Alterações na imagem 3D</t>
  </si>
  <si>
    <t xml:space="preserve">8949421348</t>
  </si>
  <si>
    <t xml:space="preserve">Inovação Aberta 2025</t>
  </si>
  <si>
    <t xml:space="preserve">9006171097</t>
  </si>
  <si>
    <t xml:space="preserve">Para fazer</t>
  </si>
  <si>
    <t xml:space="preserve">8907532548</t>
  </si>
  <si>
    <t xml:space="preserve">Orçamento impressão e envio Flyers</t>
  </si>
  <si>
    <t xml:space="preserve">8945115152</t>
  </si>
  <si>
    <t xml:space="preserve">Orçamento brinde porta cartões</t>
  </si>
  <si>
    <t xml:space="preserve">8740829590</t>
  </si>
  <si>
    <t xml:space="preserve">Dia do ferroviário - A Ferrovia em Fotos</t>
  </si>
  <si>
    <t xml:space="preserve">8510119032</t>
  </si>
  <si>
    <t xml:space="preserve">8909481813</t>
  </si>
  <si>
    <t xml:space="preserve">Layout envelope</t>
  </si>
  <si>
    <t xml:space="preserve">8724771806</t>
  </si>
  <si>
    <t xml:space="preserve">Mês da Ética</t>
  </si>
  <si>
    <t xml:space="preserve">Orçamentos</t>
  </si>
  <si>
    <t xml:space="preserve">Gráfica</t>
  </si>
  <si>
    <t xml:space="preserve">9024691090</t>
  </si>
  <si>
    <t xml:space="preserve">8278947297</t>
  </si>
  <si>
    <t xml:space="preserve">Faixa lona</t>
  </si>
  <si>
    <t xml:space="preserve">8810609866</t>
  </si>
  <si>
    <t xml:space="preserve">banner</t>
  </si>
  <si>
    <t xml:space="preserve">8874163458</t>
  </si>
  <si>
    <t xml:space="preserve">Vídeo - Orçamento</t>
  </si>
  <si>
    <t xml:space="preserve">Orçamento de produção (terceiros)</t>
  </si>
  <si>
    <t xml:space="preserve">8229918676</t>
  </si>
  <si>
    <t xml:space="preserve">Materiais institucionais de segurança</t>
  </si>
  <si>
    <t xml:space="preserve">8427439373</t>
  </si>
  <si>
    <t xml:space="preserve">Fura pauta - banner acróstico Aumenta o Volume</t>
  </si>
  <si>
    <t xml:space="preserve">8956596030</t>
  </si>
  <si>
    <t xml:space="preserve">Móbiles</t>
  </si>
  <si>
    <t xml:space="preserve">8875798296</t>
  </si>
  <si>
    <t xml:space="preserve">Plano de mídia on e off</t>
  </si>
  <si>
    <t xml:space="preserve">9022501744</t>
  </si>
  <si>
    <t xml:space="preserve">Relatório de Sustentabilidade 2024 - Planejamento Digital</t>
  </si>
  <si>
    <t xml:space="preserve">8956557793</t>
  </si>
  <si>
    <t xml:space="preserve">Plaquinhas</t>
  </si>
  <si>
    <t xml:space="preserve">9031586242</t>
  </si>
  <si>
    <t xml:space="preserve">9031580702</t>
  </si>
  <si>
    <t xml:space="preserve">Fundo de Teams</t>
  </si>
  <si>
    <t xml:space="preserve">9033245897</t>
  </si>
  <si>
    <t xml:space="preserve">Backbus</t>
  </si>
  <si>
    <t xml:space="preserve">8374310798</t>
  </si>
  <si>
    <t xml:space="preserve">PE - Landing page - Inovação Aberta</t>
  </si>
  <si>
    <t xml:space="preserve">8303726892</t>
  </si>
  <si>
    <t xml:space="preserve">Flyer Maio Amarelo</t>
  </si>
  <si>
    <t xml:space="preserve">8410037240</t>
  </si>
  <si>
    <t xml:space="preserve">8751000636</t>
  </si>
  <si>
    <t xml:space="preserve">Adaptação - redes</t>
  </si>
  <si>
    <t xml:space="preserve">Adaptação de peça para redes</t>
  </si>
  <si>
    <t xml:space="preserve">8736144436</t>
  </si>
  <si>
    <t xml:space="preserve">Radio</t>
  </si>
  <si>
    <t xml:space="preserve">8736838634</t>
  </si>
  <si>
    <t xml:space="preserve">Carro de som</t>
  </si>
  <si>
    <t xml:space="preserve">8745783507</t>
  </si>
  <si>
    <t xml:space="preserve">outdoor</t>
  </si>
  <si>
    <t xml:space="preserve">8856194258</t>
  </si>
  <si>
    <t xml:space="preserve">Dark post 2</t>
  </si>
  <si>
    <t xml:space="preserve">8888520174</t>
  </si>
  <si>
    <t xml:space="preserve">Carro de som 2</t>
  </si>
  <si>
    <t xml:space="preserve">9089286906</t>
  </si>
  <si>
    <t xml:space="preserve">Relatório de Listening + Diálogo + Conteúdo + Perf | Abril 2025</t>
  </si>
  <si>
    <t xml:space="preserve">8407041633</t>
  </si>
  <si>
    <t xml:space="preserve">Momentos que Importam</t>
  </si>
  <si>
    <t xml:space="preserve">8764803778</t>
  </si>
  <si>
    <t xml:space="preserve">Guia Momentos que importam</t>
  </si>
  <si>
    <t xml:space="preserve">8861424434</t>
  </si>
  <si>
    <t xml:space="preserve">Bloco de notas</t>
  </si>
  <si>
    <t xml:space="preserve">8818964585</t>
  </si>
  <si>
    <t xml:space="preserve">Guia parceiros VLI - Atualização</t>
  </si>
  <si>
    <t xml:space="preserve">8841269775</t>
  </si>
  <si>
    <t xml:space="preserve">PE - 15 anos desafio VIK</t>
  </si>
  <si>
    <t xml:space="preserve">8855020394</t>
  </si>
  <si>
    <t xml:space="preserve">Pré-lançamento - Vídeo para o Viva</t>
  </si>
  <si>
    <t xml:space="preserve">8855525315</t>
  </si>
  <si>
    <t xml:space="preserve">KV - Lançamento da Campanha</t>
  </si>
  <si>
    <t xml:space="preserve">8929326640</t>
  </si>
  <si>
    <t xml:space="preserve">KV - Desafio VIK</t>
  </si>
  <si>
    <t xml:space="preserve">8861423326</t>
  </si>
  <si>
    <t xml:space="preserve">Cubo</t>
  </si>
  <si>
    <t xml:space="preserve">8952911471</t>
  </si>
  <si>
    <t xml:space="preserve">Adesivos de banheiro</t>
  </si>
  <si>
    <t xml:space="preserve">9137711985</t>
  </si>
  <si>
    <t xml:space="preserve">Totem</t>
  </si>
  <si>
    <t xml:space="preserve">8683834470</t>
  </si>
  <si>
    <t xml:space="preserve">Brindes tempo de casa</t>
  </si>
  <si>
    <t xml:space="preserve">8701870318</t>
  </si>
  <si>
    <t xml:space="preserve">8956556929</t>
  </si>
  <si>
    <t xml:space="preserve">Cartaz você já sabe</t>
  </si>
  <si>
    <t xml:space="preserve">8917695327</t>
  </si>
  <si>
    <t xml:space="preserve">Sessão de fotos</t>
  </si>
  <si>
    <t xml:space="preserve">9214028609</t>
  </si>
  <si>
    <t xml:space="preserve">Cartaz teatro</t>
  </si>
  <si>
    <t xml:space="preserve">9146122798</t>
  </si>
  <si>
    <t xml:space="preserve">Painel de led</t>
  </si>
  <si>
    <t xml:space="preserve">8768708849</t>
  </si>
  <si>
    <t xml:space="preserve">8831298840</t>
  </si>
  <si>
    <t xml:space="preserve">Layout cartas</t>
  </si>
  <si>
    <t xml:space="preserve">9022911728</t>
  </si>
  <si>
    <t xml:space="preserve">Orçamento Aberje - cotação</t>
  </si>
  <si>
    <t xml:space="preserve">9158614382</t>
  </si>
  <si>
    <t xml:space="preserve">Folder institucional segurança  - "Maio amarelo 2025"</t>
  </si>
  <si>
    <t xml:space="preserve">9138363220</t>
  </si>
  <si>
    <t xml:space="preserve">Banner dialogo de Segurança</t>
  </si>
  <si>
    <t xml:space="preserve">9167399792</t>
  </si>
  <si>
    <t xml:space="preserve">Banner atemporal Segurança - "Maio amarelo 2025"</t>
  </si>
  <si>
    <t xml:space="preserve">9040060733</t>
  </si>
  <si>
    <t xml:space="preserve">Feira de Benefícios</t>
  </si>
  <si>
    <t xml:space="preserve">8465668492</t>
  </si>
  <si>
    <t xml:space="preserve">Faça bonito</t>
  </si>
  <si>
    <t xml:space="preserve">8715647917</t>
  </si>
  <si>
    <t xml:space="preserve">Orçamentos gráficos</t>
  </si>
  <si>
    <t xml:space="preserve">Produzindo</t>
  </si>
  <si>
    <t xml:space="preserve">8715799993</t>
  </si>
  <si>
    <t xml:space="preserve">8755179783</t>
  </si>
  <si>
    <t xml:space="preserve">lixocar</t>
  </si>
  <si>
    <t xml:space="preserve">8915959385</t>
  </si>
  <si>
    <t xml:space="preserve">Fitinha</t>
  </si>
  <si>
    <t xml:space="preserve">6645883023</t>
  </si>
  <si>
    <t xml:space="preserve">PE - Automatização de Emails - CX</t>
  </si>
  <si>
    <t xml:space="preserve">7199489592</t>
  </si>
  <si>
    <t xml:space="preserve">Fase 1 - Configuração do RD Stion</t>
  </si>
  <si>
    <t xml:space="preserve">9185150355</t>
  </si>
  <si>
    <t xml:space="preserve">PE - Relatório de Sustentabilidade 2024 - Vídeo 1</t>
  </si>
  <si>
    <t xml:space="preserve">9166699606</t>
  </si>
  <si>
    <t xml:space="preserve">Anúncio Tocantins Export</t>
  </si>
  <si>
    <t xml:space="preserve">9211406135</t>
  </si>
  <si>
    <t xml:space="preserve">Mídia - Estágio</t>
  </si>
  <si>
    <t xml:space="preserve">8562622814</t>
  </si>
  <si>
    <t xml:space="preserve">8726192312</t>
  </si>
  <si>
    <t xml:space="preserve">9039068063</t>
  </si>
  <si>
    <t xml:space="preserve">Mídia - Inovação Aberta</t>
  </si>
  <si>
    <t xml:space="preserve">9223820510</t>
  </si>
  <si>
    <t xml:space="preserve">Planejamento GPTW - 4 Fases</t>
  </si>
  <si>
    <t xml:space="preserve">9223821473</t>
  </si>
  <si>
    <t xml:space="preserve">Tela de login/ Fundo de tela</t>
  </si>
  <si>
    <t xml:space="preserve">9224042665</t>
  </si>
  <si>
    <t xml:space="preserve">9201907474</t>
  </si>
  <si>
    <t xml:space="preserve">Stories ARRAIA DA MIRA (MA)</t>
  </si>
  <si>
    <t xml:space="preserve">9180419465</t>
  </si>
  <si>
    <t xml:space="preserve">Dia do Meio Ambiente</t>
  </si>
  <si>
    <t xml:space="preserve">9251316507</t>
  </si>
  <si>
    <t xml:space="preserve">Apresentação ppt</t>
  </si>
  <si>
    <t xml:space="preserve">8908803512</t>
  </si>
  <si>
    <t xml:space="preserve">9021977997</t>
  </si>
  <si>
    <t xml:space="preserve">Banner para site VLI</t>
  </si>
  <si>
    <t xml:space="preserve">9068411181</t>
  </si>
  <si>
    <t xml:space="preserve">Dia do Profissional Logística</t>
  </si>
  <si>
    <t xml:space="preserve">9332745660</t>
  </si>
  <si>
    <t xml:space="preserve">Reunião de Resultados Publicidade - Maio 2025</t>
  </si>
  <si>
    <t xml:space="preserve">9166689912</t>
  </si>
  <si>
    <t xml:space="preserve">App Trato</t>
  </si>
  <si>
    <t xml:space="preserve">9166741652</t>
  </si>
  <si>
    <t xml:space="preserve">Proposta criação de layout</t>
  </si>
  <si>
    <t xml:space="preserve">8917396288</t>
  </si>
  <si>
    <t xml:space="preserve">9083663173</t>
  </si>
  <si>
    <t xml:space="preserve">9083661838</t>
  </si>
  <si>
    <t xml:space="preserve">Wobler</t>
  </si>
  <si>
    <t xml:space="preserve">9083664619</t>
  </si>
  <si>
    <t xml:space="preserve">Adesivo de chão</t>
  </si>
  <si>
    <t xml:space="preserve">9083837955</t>
  </si>
  <si>
    <t xml:space="preserve">9083703521</t>
  </si>
  <si>
    <t xml:space="preserve">Fita para notebook</t>
  </si>
  <si>
    <t xml:space="preserve">9083662640</t>
  </si>
  <si>
    <t xml:space="preserve">Banner Roll Up</t>
  </si>
  <si>
    <t xml:space="preserve">8278945003</t>
  </si>
  <si>
    <t xml:space="preserve">Livreto sanfona infantil</t>
  </si>
  <si>
    <t xml:space="preserve">8288393482</t>
  </si>
  <si>
    <t xml:space="preserve">9204610312</t>
  </si>
  <si>
    <t xml:space="preserve">Relatório</t>
  </si>
  <si>
    <t xml:space="preserve">Relatório de campanha/recorte</t>
  </si>
  <si>
    <t xml:space="preserve">9319683168</t>
  </si>
  <si>
    <t xml:space="preserve">Relatório de Sustentabilidade - Banner Home Site VLI</t>
  </si>
  <si>
    <t xml:space="preserve">9319371341</t>
  </si>
  <si>
    <t xml:space="preserve">Relatório de Listening + Diálogo + Conteúdo + Perf | Maio 2025</t>
  </si>
  <si>
    <t xml:space="preserve">9294181466</t>
  </si>
  <si>
    <t xml:space="preserve">Email mkt NPS 2025</t>
  </si>
  <si>
    <t xml:space="preserve">9283857103</t>
  </si>
  <si>
    <t xml:space="preserve">Mídia extra | Reels | Dia do profissional de logística</t>
  </si>
  <si>
    <t xml:space="preserve">9319566306</t>
  </si>
  <si>
    <t xml:space="preserve">Comunicação de manutenção - Passagem em Nível</t>
  </si>
  <si>
    <t xml:space="preserve">8397911456</t>
  </si>
  <si>
    <t xml:space="preserve">Projetos e Filas (jun–dez/25)</t>
  </si>
  <si>
    <t xml:space="preserve">9282654808</t>
  </si>
  <si>
    <t xml:space="preserve">7154.2 SIPAT | Orçamento brindes</t>
  </si>
  <si>
    <t xml:space="preserve">9280298210</t>
  </si>
  <si>
    <t xml:space="preserve">7085.1 Planejamento de mídia on</t>
  </si>
  <si>
    <t xml:space="preserve">9290172995</t>
  </si>
  <si>
    <t xml:space="preserve">6525.42 Arte chaveiro | Materiais tempo de casa</t>
  </si>
  <si>
    <t xml:space="preserve">9290184843</t>
  </si>
  <si>
    <t xml:space="preserve">Socorrista em saúde mental</t>
  </si>
  <si>
    <t xml:space="preserve">9314670222</t>
  </si>
  <si>
    <t xml:space="preserve">4431.193 Redação Aberje - orçamento e fluxo | Tayrine</t>
  </si>
  <si>
    <t xml:space="preserve">9324103066</t>
  </si>
  <si>
    <t xml:space="preserve">7240.3 Orçamento kit corrida e prêmios - relógios</t>
  </si>
  <si>
    <t xml:space="preserve">9320347168</t>
  </si>
  <si>
    <t xml:space="preserve">4668.4 Banner Regras pela Vida</t>
  </si>
  <si>
    <t xml:space="preserve">9341694837</t>
  </si>
  <si>
    <t xml:space="preserve">6062.10 Cartaz A4 - "Boa Postura" - Orientativo de Ergonomia</t>
  </si>
  <si>
    <t xml:space="preserve">9354736532</t>
  </si>
  <si>
    <t xml:space="preserve">6785.15 Fase 3 - Certificação - Banner lona</t>
  </si>
  <si>
    <t xml:space="preserve">9354737332</t>
  </si>
  <si>
    <t xml:space="preserve">5785.16 Fase 3 - Certificação - Brindes</t>
  </si>
  <si>
    <t xml:space="preserve">9351627718</t>
  </si>
  <si>
    <t xml:space="preserve">6062.9 Panfleto A5 - "Boa Postura" - Orientativo de Ergonomia</t>
  </si>
  <si>
    <t xml:space="preserve">9354463698</t>
  </si>
  <si>
    <t xml:space="preserve">7154.4 SIPAT | Cartaz A3</t>
  </si>
  <si>
    <t xml:space="preserve">9354471227</t>
  </si>
  <si>
    <t xml:space="preserve">7154.7 Orçamento impressão gráfica e distribuição</t>
  </si>
  <si>
    <t xml:space="preserve">9354461614</t>
  </si>
  <si>
    <t xml:space="preserve">7154.5 SIPAT | Banner Lona</t>
  </si>
  <si>
    <t xml:space="preserve">9354468824</t>
  </si>
  <si>
    <t xml:space="preserve">7154.6 SIPAT | Faixa</t>
  </si>
  <si>
    <t xml:space="preserve">9351427386</t>
  </si>
  <si>
    <t xml:space="preserve">7085.7 Header de email | Fábio CEO</t>
  </si>
  <si>
    <t xml:space="preserve">9362666697</t>
  </si>
  <si>
    <t xml:space="preserve">6525.44 Infografia Megahub Norte</t>
  </si>
  <si>
    <t xml:space="preserve">9374703255</t>
  </si>
  <si>
    <t xml:space="preserve">7206.2 Iluminação Casarão - VLI Unidade BH (Sapucaí)</t>
  </si>
  <si>
    <t xml:space="preserve">9382133814</t>
  </si>
  <si>
    <t xml:space="preserve">Letreiro VLI Dia do Orgulho</t>
  </si>
  <si>
    <t xml:space="preserve">9383927261</t>
  </si>
  <si>
    <t xml:space="preserve">7206.4 Fundo Teams Dia do orgulho</t>
  </si>
  <si>
    <t xml:space="preserve">9397060198</t>
  </si>
  <si>
    <t xml:space="preserve">7406.2 Certificado - Maquinista Modelo</t>
  </si>
  <si>
    <t xml:space="preserve">9392657131</t>
  </si>
  <si>
    <t xml:space="preserve">7240.2 PE - Cobertura da corrida 15km</t>
  </si>
  <si>
    <t xml:space="preserve">9405055478</t>
  </si>
  <si>
    <t xml:space="preserve">Mapa cartográfico VLI - Saída Cliente</t>
  </si>
  <si>
    <t xml:space="preserve">9431508787</t>
  </si>
  <si>
    <t xml:space="preserve">1531.79 Anúncio Export</t>
  </si>
  <si>
    <t xml:space="preserve">9435378081</t>
  </si>
  <si>
    <t xml:space="preserve">7240 Planejamento Corrida</t>
  </si>
  <si>
    <t xml:space="preserve">Planejamento de evento</t>
  </si>
  <si>
    <t xml:space="preserve">9434949708</t>
  </si>
  <si>
    <t xml:space="preserve">4431.195 Medição - Case ABRH</t>
  </si>
  <si>
    <t xml:space="preserve">9441316811</t>
  </si>
  <si>
    <t xml:space="preserve">7206.5 E-mail marketing - Dia do Orgulho</t>
  </si>
  <si>
    <t xml:space="preserve">9445883299</t>
  </si>
  <si>
    <t xml:space="preserve">7154.10 Jogos SIPAT</t>
  </si>
  <si>
    <t xml:space="preserve">9453812552</t>
  </si>
  <si>
    <t xml:space="preserve">7344.1 Zap da VLI | KV Campanha de ativação</t>
  </si>
  <si>
    <t xml:space="preserve">9451567477</t>
  </si>
  <si>
    <t xml:space="preserve">5524.1 Sinalização Sede BH</t>
  </si>
  <si>
    <t xml:space="preserve">Standby</t>
  </si>
  <si>
    <t xml:space="preserve">9460601624</t>
  </si>
  <si>
    <t xml:space="preserve">Relatório de Listening + Diálogo + Conteúdo + Perf | Junho 2025</t>
  </si>
  <si>
    <t xml:space="preserve">9460738139</t>
  </si>
  <si>
    <t xml:space="preserve">1531.80 Mídia Interior Bahia - Boletim da Ponte Dom Pedro</t>
  </si>
  <si>
    <t xml:space="preserve">9459858060</t>
  </si>
  <si>
    <t xml:space="preserve">7206.6 Convite Palestra Marcelo Cosme</t>
  </si>
  <si>
    <t xml:space="preserve">9459497724</t>
  </si>
  <si>
    <t xml:space="preserve">Defesa - Uso de IA no dia a dia</t>
  </si>
  <si>
    <t xml:space="preserve">9485418750</t>
  </si>
  <si>
    <t xml:space="preserve">7337.1 Card Whatsapp - Divulgação RI - Pesquisa TCU</t>
  </si>
  <si>
    <t xml:space="preserve">9484921430</t>
  </si>
  <si>
    <t xml:space="preserve">7240.6 Corrida 15 km - KV</t>
  </si>
  <si>
    <t xml:space="preserve">9492688068</t>
  </si>
  <si>
    <t xml:space="preserve">Reunião de Resultados Publicidade | Junho 2025</t>
  </si>
  <si>
    <t xml:space="preserve">9493777038</t>
  </si>
  <si>
    <t xml:space="preserve">6589.2 Cartilha Carreira e Sucessão</t>
  </si>
  <si>
    <t xml:space="preserve">9507420151</t>
  </si>
  <si>
    <t xml:space="preserve">6785.15 GPTW | Fase 3 - Certificação - Cartaz</t>
  </si>
  <si>
    <t xml:space="preserve">9508430340</t>
  </si>
  <si>
    <t xml:space="preserve">7240.6 Corrida 15 km Camisa</t>
  </si>
  <si>
    <t xml:space="preserve">9514286705</t>
  </si>
  <si>
    <t xml:space="preserve">7415 Mês do Voluntariado VLI | KV</t>
  </si>
  <si>
    <t xml:space="preserve">9521692736</t>
  </si>
  <si>
    <t xml:space="preserve">7344 ZAP | Jornal mural - 12 lâminas</t>
  </si>
  <si>
    <t xml:space="preserve">9532584124</t>
  </si>
  <si>
    <t xml:space="preserve">6525.47 Comunicado - Renovação da FCA supera mais uma etapa</t>
  </si>
  <si>
    <t xml:space="preserve">9545246558</t>
  </si>
  <si>
    <t xml:space="preserve">6113.17 Análise comparativa semestral - KPIs Digital</t>
  </si>
  <si>
    <t xml:space="preserve">9555020684</t>
  </si>
  <si>
    <t xml:space="preserve">6132.23 PE - 15 Anos | Spot rádio interno VLI</t>
  </si>
  <si>
    <t xml:space="preserve">9564486987</t>
  </si>
  <si>
    <t xml:space="preserve">7344.4 PE - Bom dia Time Operação VLI</t>
  </si>
  <si>
    <t xml:space="preserve">Vídeo curto digital</t>
  </si>
  <si>
    <t xml:space="preserve">9564453755</t>
  </si>
  <si>
    <t xml:space="preserve">7344.3 PE - ZAP News - vídeos feitos pela IA</t>
  </si>
  <si>
    <t xml:space="preserve">9563867352</t>
  </si>
  <si>
    <t xml:space="preserve">7406.3 Maquinista Modelo | Reconhecimento - pin</t>
  </si>
  <si>
    <t xml:space="preserve">9581548066</t>
  </si>
  <si>
    <t xml:space="preserve">6474.4 Plaquinhas - Reconhecimento 2º tri - Estrelas do Cuidado</t>
  </si>
  <si>
    <t xml:space="preserve">9586222533</t>
  </si>
  <si>
    <t xml:space="preserve">6474.8 Certificados - Estrelas do Cuidado</t>
  </si>
  <si>
    <t xml:space="preserve">9585148525</t>
  </si>
  <si>
    <t xml:space="preserve">Link para formulário briefing de produção</t>
  </si>
  <si>
    <t xml:space="preserve">Documento fixo / administrativo</t>
  </si>
  <si>
    <t xml:space="preserve">9592443816</t>
  </si>
  <si>
    <t xml:space="preserve">7344.9 ZAP da VLI | Layout Flyer para maquinistas - Edição especial</t>
  </si>
  <si>
    <t xml:space="preserve">9596341679</t>
  </si>
  <si>
    <t xml:space="preserve">6132.25 15 Anos | Tela Site Cliente</t>
  </si>
  <si>
    <t xml:space="preserve">9606064882</t>
  </si>
  <si>
    <t xml:space="preserve">7454.1 KV | Campanha do Resíduo (setembro)</t>
  </si>
  <si>
    <t xml:space="preserve">9605233266</t>
  </si>
  <si>
    <t xml:space="preserve">6132.26 15 Anos | Ativação no campo - ações físicas</t>
  </si>
  <si>
    <t xml:space="preserve">9616072279</t>
  </si>
  <si>
    <t xml:space="preserve">6525.48 Cartaz uso de máscara vs. barba TIPLAM</t>
  </si>
  <si>
    <t xml:space="preserve">9611702243</t>
  </si>
  <si>
    <t xml:space="preserve">6605.9 Orçamento Cartilha+Flyer zap para maquinistas - 3º Trimestre 2025</t>
  </si>
  <si>
    <t xml:space="preserve">9620672465</t>
  </si>
  <si>
    <t xml:space="preserve">7455.1 Planejamento e KV | Dia dos pais</t>
  </si>
  <si>
    <t xml:space="preserve">9620244346</t>
  </si>
  <si>
    <t xml:space="preserve">7344.8 ZAP | Pack de figurinhas WhatsApp</t>
  </si>
  <si>
    <t xml:space="preserve">9628847689</t>
  </si>
  <si>
    <t xml:space="preserve">7468.2 Layout Cartazes de Ética - Informações fixas atemporais</t>
  </si>
  <si>
    <t xml:space="preserve">9628860802</t>
  </si>
  <si>
    <t xml:space="preserve">Assinatura de programa - Guardiões da Ética</t>
  </si>
  <si>
    <t xml:space="preserve">9644012112</t>
  </si>
  <si>
    <t xml:space="preserve">7323.3 Relatório de Listening + Diálogo + Conteúdo + Perf | Julho 2025</t>
  </si>
  <si>
    <t xml:space="preserve">9662309539</t>
  </si>
  <si>
    <t xml:space="preserve">7240.9 Meia - kit corrida</t>
  </si>
  <si>
    <t xml:space="preserve">9674367437</t>
  </si>
  <si>
    <t xml:space="preserve">6525.49 Flyer Segurança Operacional - Faixa de Dominio</t>
  </si>
  <si>
    <t xml:space="preserve">9688064309</t>
  </si>
  <si>
    <t xml:space="preserve">7240.10 Plano de redes | Corrida 15 km</t>
  </si>
  <si>
    <t xml:space="preserve">9694504900</t>
  </si>
  <si>
    <t xml:space="preserve">7240.12 Porta tênis Corrida 15km</t>
  </si>
  <si>
    <t xml:space="preserve">9705271391</t>
  </si>
  <si>
    <t xml:space="preserve">7468.1 Orçamento Brinde PIN - Guardiões da Ética</t>
  </si>
  <si>
    <t xml:space="preserve">9716701290</t>
  </si>
  <si>
    <t xml:space="preserve">Banner LP 15 Anos - Corrida</t>
  </si>
  <si>
    <t xml:space="preserve">9739776080</t>
  </si>
  <si>
    <t xml:space="preserve">7265.2 Email - Convite webinar NPS agosto 2025</t>
  </si>
  <si>
    <t xml:space="preserve">9739735613</t>
  </si>
  <si>
    <t xml:space="preserve">7154.12 SIPAT | Fundo do Teams</t>
  </si>
  <si>
    <t xml:space="preserve">9740627962</t>
  </si>
  <si>
    <t xml:space="preserve">7154.13 SIPAT | Banner Intranet</t>
  </si>
  <si>
    <t xml:space="preserve">9750251244</t>
  </si>
  <si>
    <t xml:space="preserve">7454.2 Banner Jogo 7 Erros - Campanha Resíduos</t>
  </si>
  <si>
    <t xml:space="preserve">9746753470</t>
  </si>
  <si>
    <t xml:space="preserve">7468.2 Orçamento Cartazes de Ética - Informações fixas atemporais</t>
  </si>
  <si>
    <t xml:space="preserve">9747196704</t>
  </si>
  <si>
    <t xml:space="preserve">Reunião de Resultados Publicidade | Julho 2025</t>
  </si>
  <si>
    <t xml:space="preserve">9756090602</t>
  </si>
  <si>
    <t xml:space="preserve">7596.1 Banner Intranet | Divulgação Programa</t>
  </si>
  <si>
    <t xml:space="preserve">9778980637</t>
  </si>
  <si>
    <t xml:space="preserve">6474.4 Plaquinhas para troféus - Parceiras 2º tri</t>
  </si>
  <si>
    <t xml:space="preserve">9791807296</t>
  </si>
  <si>
    <t xml:space="preserve">6525.50 Card Whatsapp - Trens em circulação - Interior de Goiás.</t>
  </si>
  <si>
    <t xml:space="preserve">9799549481</t>
  </si>
  <si>
    <t xml:space="preserve">7265.3 Landing Page - Mês do Cliente</t>
  </si>
  <si>
    <t xml:space="preserve">9798054952</t>
  </si>
  <si>
    <t xml:space="preserve">7468.1 Layout PIN - Guardiões da Ética</t>
  </si>
  <si>
    <t xml:space="preserve">9797874576</t>
  </si>
  <si>
    <t xml:space="preserve">1531.81 Verba extra - Trens em circulação - Interior de Goiás</t>
  </si>
  <si>
    <t xml:space="preserve">9798131473</t>
  </si>
  <si>
    <t xml:space="preserve">6474.8 Certificados - Parceiras 2º tri</t>
  </si>
  <si>
    <t xml:space="preserve">9808379351</t>
  </si>
  <si>
    <t xml:space="preserve">7516.1 KV Conceito | Prêmio Valor Inovação - FURA PAUTA</t>
  </si>
  <si>
    <t xml:space="preserve">9822223083</t>
  </si>
  <si>
    <t xml:space="preserve">7520.1 Plano de Mídia | Novo marco FCA | 1ª e 2ª onda</t>
  </si>
  <si>
    <t xml:space="preserve">9843904242</t>
  </si>
  <si>
    <t xml:space="preserve">7581.1 KV | Conceito de campanha | Meses coloridos</t>
  </si>
  <si>
    <t xml:space="preserve">9840729708</t>
  </si>
  <si>
    <t xml:space="preserve">4653.3 Cartilha/flyer para maquinistas - 5ª edição - Pagamento FCA</t>
  </si>
  <si>
    <t xml:space="preserve">9850145761</t>
  </si>
  <si>
    <t xml:space="preserve">7516.3 Header linkedin | Empregados</t>
  </si>
  <si>
    <t xml:space="preserve">9850336058</t>
  </si>
  <si>
    <t xml:space="preserve">7516.4 Fundo teams | Prêmio</t>
  </si>
  <si>
    <t xml:space="preserve">9850363194</t>
  </si>
  <si>
    <t xml:space="preserve">7516.5 Banner intranet | Prêmio</t>
  </si>
  <si>
    <t xml:space="preserve">9850643837</t>
  </si>
  <si>
    <t xml:space="preserve">7516.6 Banner Home site</t>
  </si>
  <si>
    <t xml:space="preserve">9849929046</t>
  </si>
  <si>
    <t xml:space="preserve">7516.2 Email mkt | Prêmio</t>
  </si>
  <si>
    <t xml:space="preserve">9850684832</t>
  </si>
  <si>
    <t xml:space="preserve">7240.13 Fita para medalha</t>
  </si>
  <si>
    <t xml:space="preserve">9850758838</t>
  </si>
  <si>
    <t xml:space="preserve">7240.14 BANNER - PÓRTICO DE LARGADA - CHEGADA - TESTEIRA, ESQUERDA E DIREITA(Corrida)</t>
  </si>
  <si>
    <t xml:space="preserve">9850755653</t>
  </si>
  <si>
    <t xml:space="preserve">7240.16 Backdrop | Fundo de palco</t>
  </si>
  <si>
    <t xml:space="preserve">9850768275</t>
  </si>
  <si>
    <t xml:space="preserve">7240.15 FAIXA DE LARGADA (corrida)</t>
  </si>
  <si>
    <t xml:space="preserve">9849685625</t>
  </si>
  <si>
    <t xml:space="preserve">Fita medalha</t>
  </si>
  <si>
    <t xml:space="preserve">9849706408</t>
  </si>
  <si>
    <t xml:space="preserve">6113.18 Tiktok | Mídia distribuição | Segmentação e projeções</t>
  </si>
  <si>
    <t xml:space="preserve">9850634830</t>
  </si>
  <si>
    <t xml:space="preserve">4431.201 TRIBHO EVENTOS - Kits Extras Corrida VLI</t>
  </si>
  <si>
    <t xml:space="preserve">9859456828</t>
  </si>
  <si>
    <t xml:space="preserve">7265.4 Mês do Cliente | Card Whatsapp</t>
  </si>
  <si>
    <t xml:space="preserve">9859518570</t>
  </si>
  <si>
    <t xml:space="preserve">1531.82 Campanha de Incêndio 2025 | Impulsionamento verba extra</t>
  </si>
  <si>
    <t xml:space="preserve">9869192295</t>
  </si>
  <si>
    <t xml:space="preserve">7556.1 | KV - PCD - Dia Nacional de Luta da Pessoa com Deficiência (21/09)</t>
  </si>
  <si>
    <t xml:space="preserve">9868610470</t>
  </si>
  <si>
    <t xml:space="preserve">7265.5 Mês do Cliente | Fundo Teams</t>
  </si>
  <si>
    <t xml:space="preserve">9868615078</t>
  </si>
  <si>
    <t xml:space="preserve">7265.6 Mês do Cliente | Headers de LK Usuário</t>
  </si>
  <si>
    <t xml:space="preserve">9904229658</t>
  </si>
  <si>
    <t xml:space="preserve">7595.1 KV | Peça conceito | Semana da Inovação VLI</t>
  </si>
  <si>
    <t xml:space="preserve">9909570135</t>
  </si>
  <si>
    <t xml:space="preserve">7427.3 Relatório de Listening + Diálogo + Conteúdo + Perf | Agosto 2025</t>
  </si>
  <si>
    <t xml:space="preserve">9910138259</t>
  </si>
  <si>
    <t xml:space="preserve">Backdrop | Encontro de Líderes</t>
  </si>
  <si>
    <t xml:space="preserve">9919149070</t>
  </si>
  <si>
    <t xml:space="preserve">7454.3 Fundo Teams | Resíduo</t>
  </si>
  <si>
    <t xml:space="preserve">9919019250</t>
  </si>
  <si>
    <t xml:space="preserve">7454 Email mkt Campanha do Resíduo</t>
  </si>
  <si>
    <t xml:space="preserve">9919472516</t>
  </si>
  <si>
    <t xml:space="preserve">6113.18 Email mkt externo | Mês do Cliente</t>
  </si>
  <si>
    <t xml:space="preserve">9919471280</t>
  </si>
  <si>
    <t xml:space="preserve">7265.8 Email mkt interno | Mês do Cliente</t>
  </si>
  <si>
    <t xml:space="preserve">9919846684</t>
  </si>
  <si>
    <t xml:space="preserve">7265.5 Plano de redes | Mês do Cliente</t>
  </si>
  <si>
    <t xml:space="preserve">9945003426</t>
  </si>
  <si>
    <t xml:space="preserve">7361.3 Planejamento de campanha | Trem Natalino VLI</t>
  </si>
  <si>
    <t xml:space="preserve">9941496181</t>
  </si>
  <si>
    <t xml:space="preserve">6525.51 Impressão Códigos de Conduta (estimativa)</t>
  </si>
  <si>
    <t xml:space="preserve">9942646475</t>
  </si>
  <si>
    <t xml:space="preserve">6132.28 Tela editável | Contagem regressiva</t>
  </si>
  <si>
    <t xml:space="preserve">9941491107</t>
  </si>
  <si>
    <t xml:space="preserve">6132.29 Game | Mochilas VLI</t>
  </si>
  <si>
    <t xml:space="preserve">9955832830</t>
  </si>
  <si>
    <t xml:space="preserve">7265.10 Mini Álbum de figurinhas | Brinde Workshop</t>
  </si>
  <si>
    <t xml:space="preserve">9950642789</t>
  </si>
  <si>
    <t xml:space="preserve">Reunião de Resultados Publicidade | Agosto 2025</t>
  </si>
  <si>
    <t xml:space="preserve">9953859350</t>
  </si>
  <si>
    <t xml:space="preserve">6132.30 Game | FURA PAUTA Card | Divulgação Game 15 anos</t>
  </si>
  <si>
    <t xml:space="preserve">9964443279</t>
  </si>
  <si>
    <t xml:space="preserve">7344.10 Impressão flyers sustentação | Game 15 anos</t>
  </si>
  <si>
    <t xml:space="preserve">9971789645</t>
  </si>
  <si>
    <t xml:space="preserve">1531.83 Darkpost | Fura Pauta | Fake news em Uberaba | Viaduto da Claricinda</t>
  </si>
  <si>
    <t xml:space="preserve">9975680735</t>
  </si>
  <si>
    <t xml:space="preserve">7591.1 SNT | Plano de mídia</t>
  </si>
  <si>
    <t xml:space="preserve">9971770075</t>
  </si>
  <si>
    <t xml:space="preserve">6525.49 Orçamento Flyer Segurança Operacional - Faixa de Dominio</t>
  </si>
  <si>
    <t xml:space="preserve">9982078301</t>
  </si>
  <si>
    <t xml:space="preserve">7591.3 SNT - BANNER PARA APP DO TRATO</t>
  </si>
  <si>
    <t xml:space="preserve">9982169339</t>
  </si>
  <si>
    <t xml:space="preserve">7591.2 SNT - BANNER PARA PAG SEGURANÇA DE TODOS</t>
  </si>
  <si>
    <t xml:space="preserve">9984950844</t>
  </si>
  <si>
    <t xml:space="preserve">6785.20 GPTW | Fase 3 - Certificação - Email mkt</t>
  </si>
  <si>
    <t xml:space="preserve">9985293841</t>
  </si>
  <si>
    <t xml:space="preserve">6785.19 Fase 3 | Wallpaper | Fundo de desktop</t>
  </si>
  <si>
    <t xml:space="preserve">9981590653</t>
  </si>
  <si>
    <t xml:space="preserve">6132.32 Game | Flyer distribuição nas unidades | Participe</t>
  </si>
  <si>
    <t xml:space="preserve">9997390791</t>
  </si>
  <si>
    <t xml:space="preserve">7265.11 Backdrop Workshop | Mês do Cliente</t>
  </si>
  <si>
    <t xml:space="preserve">10008321943</t>
  </si>
  <si>
    <t xml:space="preserve">6806.5 Troféu | Fundo infinito | Empreendedores</t>
  </si>
  <si>
    <t xml:space="preserve">10012076459</t>
  </si>
  <si>
    <t xml:space="preserve">6132.35 Game | Cartazes game 15 anos</t>
  </si>
  <si>
    <t xml:space="preserve">10021239448</t>
  </si>
  <si>
    <t xml:space="preserve">6132.34 FURA PAUTA: Anúncio 15 anos - revista Conexão</t>
  </si>
  <si>
    <t xml:space="preserve">10039033855</t>
  </si>
  <si>
    <t xml:space="preserve">7240.18 Backdrop | Fundo de foto 350cmx 250cm</t>
  </si>
  <si>
    <t xml:space="preserve">10038990275</t>
  </si>
  <si>
    <t xml:space="preserve">7240.19 Prêmio | Cartão gigante pluxee</t>
  </si>
  <si>
    <t xml:space="preserve">10081075169</t>
  </si>
  <si>
    <t xml:space="preserve">7663.1 Plano de mídia | Trainee</t>
  </si>
  <si>
    <t xml:space="preserve">10085808660</t>
  </si>
  <si>
    <t xml:space="preserve">6525.55 FURA PAUTA | Cartão secretárias VLI</t>
  </si>
  <si>
    <t xml:space="preserve">18001248441</t>
  </si>
  <si>
    <t xml:space="preserve">7707.1 Cartazes - Ação de ética anti assédio</t>
  </si>
  <si>
    <t xml:space="preserve">18013816051</t>
  </si>
  <si>
    <t xml:space="preserve">6785. 21 GPTW | Fase 3 | Covers linkedin | Certificação</t>
  </si>
  <si>
    <t xml:space="preserve">18027706870</t>
  </si>
  <si>
    <t xml:space="preserve">7663.2 Kit influenciadores | Trainee</t>
  </si>
  <si>
    <t xml:space="preserve">18026465917</t>
  </si>
  <si>
    <t xml:space="preserve">6605.9 Cartilha para maquinistas - 4º Trimestre 2025</t>
  </si>
  <si>
    <t xml:space="preserve">18031542301</t>
  </si>
  <si>
    <t xml:space="preserve">7767.1 ID | Jornada do Respeito - Tiplam</t>
  </si>
  <si>
    <t xml:space="preserve">18045883852</t>
  </si>
  <si>
    <t xml:space="preserve">6525.57 Nova marca interna - Semana de Orçamentos e Metas</t>
  </si>
  <si>
    <t xml:space="preserve">18089029178</t>
  </si>
  <si>
    <t xml:space="preserve">6605.19 Ambientação TMIB - Placas sinalização</t>
  </si>
  <si>
    <t xml:space="preserve">18117037597</t>
  </si>
  <si>
    <t xml:space="preserve">7595.2 Fundo Teams | Semana da Inovação VLI</t>
  </si>
  <si>
    <t xml:space="preserve">18122043173</t>
  </si>
  <si>
    <t xml:space="preserve">6525.61 Identificação lixeiras da Sede BH</t>
  </si>
  <si>
    <t xml:space="preserve">18117360211</t>
  </si>
  <si>
    <t xml:space="preserve">7520.3 Estáticos | Novo marco FCA | 1ª e 2ª onda</t>
  </si>
  <si>
    <t xml:space="preserve">Dúvida ou impedimento</t>
  </si>
  <si>
    <t xml:space="preserve">Peças estáticas (campanha FCA)</t>
  </si>
  <si>
    <t xml:space="preserve">18127431667</t>
  </si>
  <si>
    <t xml:space="preserve">7764.1 Planejamento e Conceito criativo | Regulação - 17/11</t>
  </si>
  <si>
    <t xml:space="preserve">18131666267</t>
  </si>
  <si>
    <t xml:space="preserve">4423.29 Fundo de Teams MGV - Regionais</t>
  </si>
  <si>
    <t xml:space="preserve">18130622174</t>
  </si>
  <si>
    <t xml:space="preserve">7533.3 Relatório de Listening + Diálogo + Conteúdo + Perf | Setembro 2025</t>
  </si>
  <si>
    <t xml:space="preserve">18142391610</t>
  </si>
  <si>
    <t xml:space="preserve">7840.1 KV | Consciência Negra 20/11</t>
  </si>
  <si>
    <t xml:space="preserve">18142916000</t>
  </si>
  <si>
    <t xml:space="preserve">6525.60 Convite - Fórum online de Seg da informação</t>
  </si>
  <si>
    <t xml:space="preserve">18142506325</t>
  </si>
  <si>
    <t xml:space="preserve">6132.39 Game | Flyer para maquinista | Prêmios 15 anos</t>
  </si>
  <si>
    <t xml:space="preserve">18160238218</t>
  </si>
  <si>
    <t xml:space="preserve">7767.3 Guia de bolso - material de consulta</t>
  </si>
  <si>
    <t xml:space="preserve">18160623864</t>
  </si>
  <si>
    <t xml:space="preserve">7361.5 Livreto sanfonado - jogos infantis</t>
  </si>
  <si>
    <t xml:space="preserve">18159752708</t>
  </si>
  <si>
    <t xml:space="preserve">7767.2 Card Whatsapp | Jornada do Respeito</t>
  </si>
  <si>
    <t xml:space="preserve">18157518034</t>
  </si>
  <si>
    <t xml:space="preserve">6132.2 Campanha final 15 anos</t>
  </si>
  <si>
    <t xml:space="preserve">18171279505</t>
  </si>
  <si>
    <t xml:space="preserve">6474.4 Plaquinhas | Área- Reconhecimento 3º tri - Estrelas do Cuidado</t>
  </si>
  <si>
    <t xml:space="preserve">18173560318</t>
  </si>
  <si>
    <t xml:space="preserve">6132.47 FURA PAUTA | Layout editável | Pílulas Bom Lugar para Trabalhar</t>
  </si>
  <si>
    <t xml:space="preserve">18195796196</t>
  </si>
  <si>
    <t xml:space="preserve">6474.8 Certficados | Área - Reconhecimento 3º tri - Estrelas do Cuidado</t>
  </si>
  <si>
    <t xml:space="preserve">18221854613</t>
  </si>
  <si>
    <t xml:space="preserve">1531.84 Anúncio impresso | Brasil Export</t>
  </si>
  <si>
    <t xml:space="preserve">18233305296</t>
  </si>
  <si>
    <t xml:space="preserve">7705.3 Relatório de Listening + Diálogo + Conteúdo + Perf | Outubro 2025</t>
  </si>
  <si>
    <t xml:space="preserve">18236384902</t>
  </si>
  <si>
    <t xml:space="preserve">6605.23 Sinalização CCO - baias</t>
  </si>
  <si>
    <t xml:space="preserve">18232826573</t>
  </si>
  <si>
    <t xml:space="preserve">7858.1 Pack Digital | Identidade novo trilho</t>
  </si>
  <si>
    <t xml:space="preserve">18247269253</t>
  </si>
  <si>
    <t xml:space="preserve">6525.63 Cartão de aniversário VLI | Primeiro trimestre 2026</t>
  </si>
  <si>
    <t xml:space="preserve">18277469176</t>
  </si>
  <si>
    <t xml:space="preserve">1531.84 Anúncio digital | Brasil Export</t>
  </si>
  <si>
    <t xml:space="preserve">18286845687</t>
  </si>
  <si>
    <t xml:space="preserve">7843.1 Campanha de benefícios - 1ª fase</t>
  </si>
  <si>
    <t xml:space="preserve">18286682720</t>
  </si>
  <si>
    <t xml:space="preserve">6525.62 Convite entrega de locomotivas 02/12</t>
  </si>
  <si>
    <t xml:space="preserve">18286272369</t>
  </si>
  <si>
    <t xml:space="preserve">6132.48 PE | Documentário</t>
  </si>
  <si>
    <t xml:space="preserve">18297949985</t>
  </si>
  <si>
    <t xml:space="preserve">7843.1 Banner roll up | Conheça este benefício</t>
  </si>
  <si>
    <t xml:space="preserve">18302974091</t>
  </si>
  <si>
    <t xml:space="preserve">6605.22 Voucher | Cesta fria</t>
  </si>
  <si>
    <t xml:space="preserve">18318275850</t>
  </si>
  <si>
    <t xml:space="preserve">7764 Email mkt | Corporativo</t>
  </si>
  <si>
    <t xml:space="preserve">18318285678</t>
  </si>
  <si>
    <t xml:space="preserve">7764.2 Cartazes | Campo e Corporativo | Regulação - 17/11</t>
  </si>
  <si>
    <t xml:space="preserve">18318212120</t>
  </si>
  <si>
    <t xml:space="preserve">7884.1 KV | Janeiro Branco</t>
  </si>
  <si>
    <t xml:space="preserve">18332200684</t>
  </si>
  <si>
    <t xml:space="preserve">6113.19 Planejamento intermediário Linkedin VLI e Fábio</t>
  </si>
  <si>
    <t xml:space="preserve">18353878376</t>
  </si>
  <si>
    <t xml:space="preserve">7707.2 Prisma de mesa - Ação de ética anti assédio</t>
  </si>
  <si>
    <t xml:space="preserve">18366123832</t>
  </si>
  <si>
    <t xml:space="preserve">7358.4 PE | Ajuste Vídeo Kairos | Encontro de líderes</t>
  </si>
  <si>
    <t xml:space="preserve">18365266148</t>
  </si>
  <si>
    <t xml:space="preserve">7764.4 Jogo | Ação de engajamento e educação| Regulação - 17/11</t>
  </si>
  <si>
    <t xml:space="preserve">18370088783</t>
  </si>
  <si>
    <t xml:space="preserve">7914.1 Identidade | Programa de Diversidade</t>
  </si>
  <si>
    <t xml:space="preserve">10528454752</t>
  </si>
  <si>
    <t xml:space="preserve">7358.3 | PE - Redesenho Layout do Mapa estratégico | Corporativo</t>
  </si>
  <si>
    <t xml:space="preserve">18372376756</t>
  </si>
  <si>
    <t xml:space="preserve">7764.4 Fundo Teams | Regulação</t>
  </si>
  <si>
    <t xml:space="preserve">18374736503</t>
  </si>
  <si>
    <t xml:space="preserve">6525.66 PE - Vídeos apresentação 3 batalhas | Encontro de líderes</t>
  </si>
  <si>
    <t xml:space="preserve">18374203721</t>
  </si>
  <si>
    <t xml:space="preserve">Conexão 2030 | PE - Proposta Orçamento | Novo mapa estratégico</t>
  </si>
  <si>
    <t xml:space="preserve">18374643978</t>
  </si>
  <si>
    <t xml:space="preserve">7904.1 Atualização do KV | Foco em segurança | Aumenta o Volume</t>
  </si>
  <si>
    <t xml:space="preserve">18376433720</t>
  </si>
  <si>
    <t xml:space="preserve">7358.1 PE - KV | Conceito "Conexão 2030: em ação."</t>
  </si>
  <si>
    <t xml:space="preserve">18376224300</t>
  </si>
  <si>
    <t xml:space="preserve">7904.2 Ajuste Meta TKU Corredor Sudeste | 3D</t>
  </si>
  <si>
    <t xml:space="preserve">18377897063</t>
  </si>
  <si>
    <t xml:space="preserve">7707.3 Orçamentos | Impressos anti assédio Festa Final de Ano</t>
  </si>
  <si>
    <t xml:space="preserve">18377857011</t>
  </si>
  <si>
    <t xml:space="preserve">6474.8 Certificados | Parceiras - Reconhecimento 3º tri</t>
  </si>
  <si>
    <t xml:space="preserve">18377856438</t>
  </si>
  <si>
    <t xml:space="preserve">6474.4 Plaquinhas | Parceiras - Reconhecimento 3º tri</t>
  </si>
  <si>
    <t xml:space="preserve">18380872872</t>
  </si>
  <si>
    <t xml:space="preserve">7358.5 PE - Vídeo aspiracional | Novo mapa | Futuro da Logística</t>
  </si>
  <si>
    <t xml:space="preserve">18383147824</t>
  </si>
  <si>
    <t xml:space="preserve">7358.6 | Pack de frases | Decoração Encontro de Líderes</t>
  </si>
  <si>
    <t xml:space="preserve">18385114830</t>
  </si>
  <si>
    <t xml:space="preserve">Balão | 15 anos</t>
  </si>
  <si>
    <t xml:space="preserve">18389172194</t>
  </si>
  <si>
    <t xml:space="preserve">7956.1 Cartilha Eficiência - Maquinista 1° Trimestre 2026</t>
  </si>
  <si>
    <t xml:space="preserve">18389176208</t>
  </si>
  <si>
    <t xml:space="preserve">6132.51 Papel de arroz | Bolo comemorativo 15 anos</t>
  </si>
  <si>
    <t xml:space="preserve">10636774000</t>
  </si>
  <si>
    <t xml:space="preserve">1531.85 Mídia Obrigatória - Projeto na Baixada Santista</t>
  </si>
  <si>
    <t xml:space="preserve">10738510236</t>
  </si>
  <si>
    <t xml:space="preserve">7855.3 Relatório de Listening + Diálogo + Conteúdo + Perf | novembro 2025</t>
  </si>
  <si>
    <t xml:space="preserve">10748170807</t>
  </si>
  <si>
    <t xml:space="preserve">6525.69 Cartão de Natal Digital</t>
  </si>
  <si>
    <t xml:space="preserve">10754156332</t>
  </si>
  <si>
    <t xml:space="preserve">8013.1 KV | Nova ilustração | Carreira &amp; Sucessão 2026</t>
  </si>
  <si>
    <t xml:space="preserve">10754057084</t>
  </si>
  <si>
    <t xml:space="preserve">7843.4 Campanha de benefícios - 2ª fase - Esporte</t>
  </si>
  <si>
    <t xml:space="preserve">10766770919</t>
  </si>
  <si>
    <t xml:space="preserve">8008.1 Planejamento de Presença Digital 2026</t>
  </si>
  <si>
    <t xml:space="preserve">10765790879</t>
  </si>
  <si>
    <t xml:space="preserve">8013.2 Carreira e Sucessão | Template de ppt | C&amp;S</t>
  </si>
  <si>
    <t xml:space="preserve">10763582858</t>
  </si>
  <si>
    <t xml:space="preserve">7948.3 Relatório de Listening + Diálogo + Conteúdo + Perf | dezembro 2025</t>
  </si>
  <si>
    <t xml:space="preserve">10763581152</t>
  </si>
  <si>
    <t xml:space="preserve">8008.2 Relatório anual de presença digital 2025</t>
  </si>
  <si>
    <t xml:space="preserve">10763493372</t>
  </si>
  <si>
    <t xml:space="preserve">6132.31 Relatório Digital | Recorte projeto 15 anos</t>
  </si>
  <si>
    <t xml:space="preserve">10765924318</t>
  </si>
  <si>
    <t xml:space="preserve">6132.52 Banner de Intranet | Aniversário</t>
  </si>
  <si>
    <t xml:space="preserve">10766684325</t>
  </si>
  <si>
    <t xml:space="preserve">6132.53 Card Divulgação Filme VLI</t>
  </si>
  <si>
    <t xml:space="preserve">10767365992</t>
  </si>
  <si>
    <t xml:space="preserve">6132.55 Fundo teams :: 15 anos VLI</t>
  </si>
  <si>
    <t xml:space="preserve">10767150203</t>
  </si>
  <si>
    <t xml:space="preserve">6132.54 Wallpaper :: 15 anos VLI</t>
  </si>
  <si>
    <t xml:space="preserve">10777513204</t>
  </si>
  <si>
    <t xml:space="preserve">Carreira e Sucessão | Cartilha digital</t>
  </si>
  <si>
    <t xml:space="preserve">10777547808</t>
  </si>
  <si>
    <t xml:space="preserve">7904.4 Aumenta o Volume | Banner intranet</t>
  </si>
  <si>
    <t xml:space="preserve">10777558985</t>
  </si>
  <si>
    <t xml:space="preserve">8024.1 KV | Jornada do Cuidado Integral 2026</t>
  </si>
  <si>
    <t xml:space="preserve">10797808889</t>
  </si>
  <si>
    <t xml:space="preserve">7948.28 Relatório Digital | Recorte Trem Natalino</t>
  </si>
  <si>
    <t xml:space="preserve">10801848656</t>
  </si>
  <si>
    <t xml:space="preserve">7361.8 Mídia extra | FURA PAUTA | Reforço de público Magia que Conecta</t>
  </si>
  <si>
    <t xml:space="preserve">10816817712</t>
  </si>
  <si>
    <t xml:space="preserve">7406.3 PIN Maquinista Modelo | Segundo Trimestre 2025 (Laranja)</t>
  </si>
  <si>
    <t xml:space="preserve">10872332534</t>
  </si>
  <si>
    <t xml:space="preserve">7948.35 Plantão Atualização de report - Incêndio Silo TPSL - 31/12 a 04/01</t>
  </si>
  <si>
    <t xml:space="preserve">Projetos e Filas (jun–dez/25) [migrado 09/06]</t>
  </si>
  <si>
    <t xml:space="preserve">9331522123</t>
  </si>
  <si>
    <t xml:space="preserve">7265.1 Mês do Cliente - Planejamento e conceito de campanha</t>
  </si>
  <si>
    <t xml:space="preserve">9334701665</t>
  </si>
  <si>
    <t xml:space="preserve">7070.11 Relatório de Listening + Diálogo + Conteúdo + Perf | Maio 2025</t>
  </si>
  <si>
    <t xml:space="preserve">Duplicado (migração de 09/06/2025 já presente em Logística)</t>
  </si>
  <si>
    <t xml:space="preserve">9334702073</t>
  </si>
  <si>
    <t xml:space="preserve">9333722781</t>
  </si>
  <si>
    <t xml:space="preserve">7168.1 KV - Conceito de campanha</t>
  </si>
  <si>
    <t xml:space="preserve">9333722106</t>
  </si>
  <si>
    <t xml:space="preserve">7085.1 Plano Relatório de Sustentabilidade 2024</t>
  </si>
  <si>
    <t xml:space="preserve">9333721081</t>
  </si>
  <si>
    <t xml:space="preserve">Cartilha/Flyer para maquinistas - 5ª edição</t>
  </si>
  <si>
    <t xml:space="preserve">9334699241</t>
  </si>
  <si>
    <t xml:space="preserve">6525.23 Cartilha da licença-maternidade (extra fee)</t>
  </si>
  <si>
    <t xml:space="preserve">9334699852</t>
  </si>
  <si>
    <t xml:space="preserve">6525.14 Brindes tempo de casa</t>
  </si>
  <si>
    <t xml:space="preserve">9334701802</t>
  </si>
  <si>
    <t xml:space="preserve">6525.40 Email mkt NPS 2025</t>
  </si>
  <si>
    <t xml:space="preserve">9334700299</t>
  </si>
  <si>
    <t xml:space="preserve">6525.37 Atualização - Materiais tempo de casa</t>
  </si>
  <si>
    <t xml:space="preserve">9334699009</t>
  </si>
  <si>
    <t xml:space="preserve">6525.1 Nova embalagem ferrorama</t>
  </si>
  <si>
    <t xml:space="preserve">9334701508</t>
  </si>
  <si>
    <t xml:space="preserve">6525.38 Adesivo proteção ao negócio</t>
  </si>
  <si>
    <t xml:space="preserve">9334434738</t>
  </si>
  <si>
    <t xml:space="preserve">6474.4 Troféu e plaquinhas</t>
  </si>
  <si>
    <t xml:space="preserve">9334434210</t>
  </si>
  <si>
    <t xml:space="preserve">Nome e Assinatura</t>
  </si>
  <si>
    <t xml:space="preserve">9334434356</t>
  </si>
  <si>
    <t xml:space="preserve">9334434433</t>
  </si>
  <si>
    <t xml:space="preserve">9334434582</t>
  </si>
  <si>
    <t xml:space="preserve">Botton/PIN</t>
  </si>
  <si>
    <t xml:space="preserve">9334435214</t>
  </si>
  <si>
    <t xml:space="preserve">Certificado</t>
  </si>
  <si>
    <t xml:space="preserve">9334433500</t>
  </si>
  <si>
    <t xml:space="preserve">Programa de Reconhecimento VLI - Estrelas do Cuidado</t>
  </si>
  <si>
    <t xml:space="preserve">9334704333</t>
  </si>
  <si>
    <t xml:space="preserve">6208.47 Novo orçamento apenas com Wobbler - localidades</t>
  </si>
  <si>
    <t xml:space="preserve">9334703798</t>
  </si>
  <si>
    <t xml:space="preserve">6208.43 Wobbler</t>
  </si>
  <si>
    <t xml:space="preserve">9334703896</t>
  </si>
  <si>
    <t xml:space="preserve">6208.44 Adesivo para catraca</t>
  </si>
  <si>
    <t xml:space="preserve">9334704161</t>
  </si>
  <si>
    <t xml:space="preserve">6208.47 Orçamentos</t>
  </si>
  <si>
    <t xml:space="preserve">9334704503</t>
  </si>
  <si>
    <t xml:space="preserve">6132.19 PE | Vídeos para LP 15 Anos | 15 Histórias</t>
  </si>
  <si>
    <t xml:space="preserve">9334701284</t>
  </si>
  <si>
    <t xml:space="preserve">PE - 15 anos - Vídeos Histórias</t>
  </si>
  <si>
    <t xml:space="preserve">9334703659</t>
  </si>
  <si>
    <t xml:space="preserve">6113.6 Guia de Consulta digital</t>
  </si>
  <si>
    <t xml:space="preserve">9334702327</t>
  </si>
  <si>
    <t xml:space="preserve">6113.5 Analise de redes - integração com interno "ou seja"</t>
  </si>
  <si>
    <t xml:space="preserve">9334702484</t>
  </si>
  <si>
    <t xml:space="preserve">9334702777</t>
  </si>
  <si>
    <t xml:space="preserve">9334702988</t>
  </si>
  <si>
    <t xml:space="preserve">9334702698</t>
  </si>
  <si>
    <t xml:space="preserve">9334702924</t>
  </si>
  <si>
    <t xml:space="preserve">9334703130</t>
  </si>
  <si>
    <t xml:space="preserve">9334703361</t>
  </si>
  <si>
    <t xml:space="preserve">9334704039</t>
  </si>
  <si>
    <t xml:space="preserve">9333684856</t>
  </si>
  <si>
    <t xml:space="preserve">Kick off contrato komuh</t>
  </si>
  <si>
    <t xml:space="preserve">9333680909</t>
  </si>
  <si>
    <t xml:space="preserve">Briefing padrão</t>
  </si>
  <si>
    <t xml:space="preserve">9333681216</t>
  </si>
  <si>
    <t xml:space="preserve">CNPJ</t>
  </si>
  <si>
    <t xml:space="preserve">9333681432</t>
  </si>
  <si>
    <t xml:space="preserve">Briefing para Demandas extra fee</t>
  </si>
  <si>
    <t xml:space="preserve">9333681633</t>
  </si>
  <si>
    <t xml:space="preserve">COMO ACHAR UM PULSE ARQUIVADO?</t>
  </si>
  <si>
    <t xml:space="preserve">9333682573</t>
  </si>
  <si>
    <t xml:space="preserve">Renovação FCA - BOARD FIXO</t>
  </si>
  <si>
    <t xml:space="preserve">9333681851</t>
  </si>
  <si>
    <t xml:space="preserve">Despesas Renovação FCA - como cobrar</t>
  </si>
  <si>
    <t xml:space="preserve">9333682164</t>
  </si>
  <si>
    <t xml:space="preserve">CORTEX - Metodologia</t>
  </si>
  <si>
    <t xml:space="preserve">9333683797</t>
  </si>
  <si>
    <t xml:space="preserve">Guia de Assinatura de Programas internos</t>
  </si>
  <si>
    <t xml:space="preserve">9333684013</t>
  </si>
  <si>
    <t xml:space="preserve">Guia de Marca, Ambientação e Sinalização VLI</t>
  </si>
  <si>
    <t xml:space="preserve">9333685208</t>
  </si>
  <si>
    <t xml:space="preserve">IDEIAS FOTOS ESPECÍFICAS</t>
  </si>
  <si>
    <t xml:space="preserve">9333684446</t>
  </si>
  <si>
    <t xml:space="preserve">PLANEJAMENTO ANUAL DE PP</t>
  </si>
  <si>
    <t xml:space="preserve">9333684651</t>
  </si>
  <si>
    <t xml:space="preserve">Foto de Produtos</t>
  </si>
  <si>
    <t xml:space="preserve">9333685054</t>
  </si>
  <si>
    <t xml:space="preserve">Cordão / cordinha de crachá / corda</t>
  </si>
  <si>
    <t xml:space="preserve">9333685753</t>
  </si>
  <si>
    <t xml:space="preserve">Recomendações para Gravar Vídeos de Boa Qualidade</t>
  </si>
  <si>
    <t xml:space="preserve">9333685956</t>
  </si>
  <si>
    <t xml:space="preserve">Spots jingles Disponíveis</t>
  </si>
  <si>
    <t xml:space="preserve">Trabalho recorrente em 2025 sem linha equivalente no BID</t>
  </si>
  <si>
    <t xml:space="preserve">Entregas de 2025 que não encontraram linha no BID. Se a intenção é contratar também esses itens, vale pedir inclusão/precificação ao fornecedor.</t>
  </si>
  <si>
    <t xml:space="preserve">Categoria</t>
  </si>
  <si>
    <t xml:space="preserve">Entregues 2025</t>
  </si>
  <si>
    <t xml:space="preserve">Demandadas 2025</t>
  </si>
  <si>
    <t xml:space="preserve">Exemplos</t>
  </si>
  <si>
    <t xml:space="preserve">Móbile de teto; Adesivo de capacete; Cordões de crachá; PE - Sessão de fotos; Plaquinha de locomotiva; PIN; Relatório anual 2024; Brindes Braços Abertos; Novas placas - Estação de Memórias; Card para PINS</t>
  </si>
  <si>
    <t xml:space="preserve">Uno ESG; Abril Verde - Campanha P; Dado e cartas - Feira de Benefícios; Feira de Benefícios; Dia do Profissional Logística; Campanha de benefícios - 1ª fase; Campanha de benefícios - 2ª fase - Espor</t>
  </si>
  <si>
    <t xml:space="preserve">Orçamento; Empregados; Fornecedores; Clientes; Layout; Orçamentos brindes variados; Planilha base para produção gráfica 2025; Saídas de arquivos; orç. Vídeo Marcos História VLI - Encontr; orç. Vídeo Lyric Manifesto - Encontro de</t>
  </si>
  <si>
    <t xml:space="preserve">Leitura: "produção gráfica / brindes / outros" = pins, plaquinhas, certificados, adesivos, troféus, kits, ambientação, jogos etc. (criação+orçamento com gráfica). "Etapas/orçamentos" são subitens de apoio (orçamento, layout genérico) e não são entregáveis de criação.</t>
  </si>
  <si>
    <t xml:space="preserve">Posts publicados no calendário VLI | Conteúdo 2026 (Status Komuh = Publicado)</t>
  </si>
  <si>
    <t xml:space="preserve">O Monday de Conteúdo só cobre 2026; usado como proxy para posts sociais. Outubro/26 excluído (mês incompleto). Anualização = total jan–set × 12/9.</t>
  </si>
  <si>
    <t xml:space="preserve">Formato</t>
  </si>
  <si>
    <t xml:space="preserve">Janeiro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</si>
  <si>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</si>
  <si>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</si>
  <si>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</si>
  <si>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</si>
  <si>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</si>
  <si>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</si>
  <si>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</si>
  <si>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</si>
  <si>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Total jan–set</t>
  </si>
  <si>
    <t xml:space="preserve">Anualizado (×12/9)</t>
  </si>
  <si>
    <t xml:space="preserve">Vídeo</t>
  </si>
  <si>
    <t xml:space="preserve">Card Simples</t>
  </si>
  <si>
    <t xml:space="preserve">Carrossel</t>
  </si>
  <si>
    <t xml:space="preserve">Fotos/vídeos</t>
  </si>
  <si>
    <t xml:space="preserve">Cobertura</t>
  </si>
  <si>
    <t xml:space="preserve">(sem formato)</t>
  </si>
  <si>
    <t xml:space="preserve">Cover</t>
  </si>
  <si>
    <t xml:space="preserve">Collab</t>
  </si>
  <si>
    <t xml:space="preserve">Reels</t>
  </si>
  <si>
    <t xml:space="preserve">Repost</t>
  </si>
  <si>
    <t xml:space="preserve">Story</t>
  </si>
  <si>
    <t xml:space="preserve">Álbum fotos</t>
  </si>
  <si>
    <t xml:space="preserve">Objetivo</t>
  </si>
  <si>
    <t xml:space="preserve">Estimar, por linha do BID de Comunicação (abas Publicidade / Conteúdo Institucional / Comunicação Digital – as 54 linhas são idênticas), o consumo anual de itens com base no histórico de 2025 do Monday com a agência atual.</t>
  </si>
  <si>
    <t xml:space="preserve">Fontes usadas</t>
  </si>
  <si>
    <t xml:space="preserve">• VLI Logística (Monday): itens com data prevista em 2025 (jan–jun/25) + subitens.  • VLI Projetos e Filas: itens com "Entrada" de 09/06/2025 a 31/12/2025 (jun–dez/25).  • VLI Conteúdo 2026: só como proxy de posts sociais.  • VLI Comunidades: não usado (relatórios/one pages de 2026).</t>
  </si>
  <si>
    <t xml:space="preserve">Cobertura de 2025</t>
  </si>
  <si>
    <t xml:space="preserve">Jan–jun/25 vem do quadro Logística e jun–dez/25 de Projetos e Filas, portanto 2025 está completo e não precisa ser anualizado. Os 87 itens "migrados" em 09/06/2025 (criados em lote) foram deduplicados contra Logística por similaridade de nome; 6 falsos duplicados foram restaurados manualmente.</t>
  </si>
  <si>
    <t xml:space="preserve">Unidade de contagem</t>
  </si>
  <si>
    <t xml:space="preserve">Item do Monday sem subitens = 1 entrega. Item com subitens que são peças (ex.: Jornada ESG, Programa Aumenta o Volume, Mês da Ética) = contam os subitens, e o item pai vira "contêiner". Subitens que são só etapas (Orçamento, Layout genérico) não contam.</t>
  </si>
  <si>
    <t xml:space="preserve">Entregue: Finalizado, Aprovado, Concluído, Veiculando, Apurando, Gráfica, Finalizando arquivo, Produzindo. Nunca contam: Cancelado, Reprovado. "Demandada" soma também aguardando aprovação/retorno, impedido, standby e falta info.</t>
  </si>
  <si>
    <t xml:space="preserve">Classificação</t>
  </si>
  <si>
    <t xml:space="preserve">Feita por regras de texto sobre o nome do item/subitem (aba "Base 2025", colunas L–N), com nível de confiança Alta/Média/Baixa. Os mapeamentos de confiança Baixa (anúncios, convites, mapas, áudio, mídia extra) merecem revisão do time. Basta trocar a linha na coluna L (há lista suspensa) que o Resumo recalcula.</t>
  </si>
  <si>
    <t xml:space="preserve">Limitações do Monday</t>
  </si>
  <si>
    <t xml:space="preserve">• Não há horas (linhas de consultoria/gerente/analista não estimáveis).  • Não há nº de lâminas (manual de marca) nem duração de vídeo.  • Um item pode conter várias peças que não foram abertas em subitens (subestima), e vários itens podem ser uma mesma peça em etapas (superestima).  • Planejamentos e relatórios feitos dentro do fee também foram contados: é consumo potencial, não necessariamente cobrado como extra.</t>
  </si>
  <si>
    <t xml:space="preserve">Posts sociais</t>
  </si>
  <si>
    <t xml:space="preserve">Os quadros de 2025 não trazem o calendário editorial; a proxy usa os posts publicados em jan–set/2026 anualizados. Somados à linha de card estático e carrossel, mas podem já estar no fee mensal – decisão do time.</t>
  </si>
  <si>
    <t xml:space="preserve">Pontos para validar</t>
  </si>
  <si>
    <t xml:space="preserve">1) Posts sociais e relatórios mensais entram nos extras ou ficam no fee?  2) Existe timesheet para estimar horas?  3) Vale pedir ao fornecedor linhas para anúncio, brindes/produção gráfica, campanha completa e ambientação (hoje sem equivalente)?  4) Itens de confiança Baixa estão bem mapeados?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</si>
</sst>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General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FFFCC"/>
      </patternFill>
    </fill>
    <fill>
      <patternFill patternType="solid">
        <fgColor rgb="FFF8CBAD"/>
        <bgColor rgb="FFD9D9D9"/>
      </patternFill>
    </fill>
    <fill>
      <patternFill patternType="solid">
        <fgColor rgb="FFD9D9D9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95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5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46.25" hidden="false" customHeight="false" outlineLevel="0" collapsed="false">
      <c r="A5" s="4" t="s">
        <v>11</v>
      </c>
      <c r="B5" s="5" t="n">
        <v>4364</v>
      </c>
      <c r="C5" s="6" t="n">
        <f aca="false">COUNTIFS('Base 2025'!$L$2:$L$561,$A5,'Base 2025'!$J$2:$J$561,"Sim",'Base 2025'!$H$2:$H$561,"Sim")</f>
        <v>52</v>
      </c>
      <c r="D5" s="6" t="n">
        <f aca="false">COUNTIFS('Base 2025'!$L$2:$L$561,$A5,'Base 2025'!$J$2:$J$561,"Sim",'Base 2025'!$I$2:$I$561,"Sim")</f>
        <v>58</v>
      </c>
      <c r="E5" s="6" t="n">
        <v>68</v>
      </c>
      <c r="F5" s="7" t="n">
        <f aca="false">C5+E5</f>
        <v>120</v>
      </c>
      <c r="G5" s="5" t="n">
        <f aca="false">IF(ISNUMBER(F5),F5*B5,"")</f>
        <v>523680</v>
      </c>
      <c r="H5" s="8" t="s">
        <v>12</v>
      </c>
      <c r="I5" s="4" t="s">
        <v>13</v>
      </c>
    </row>
    <row r="6" customFormat="false" ht="23.85" hidden="false" customHeight="false" outlineLevel="0" collapsed="false">
      <c r="A6" s="4" t="s">
        <v>14</v>
      </c>
      <c r="B6" s="5" t="n">
        <v>5866</v>
      </c>
      <c r="C6" s="6" t="n">
        <f aca="false">COUNTIFS('Base 2025'!$L$2:$L$561,$A6,'Base 2025'!$J$2:$J$561,"Sim",'Base 2025'!$H$2:$H$561,"Sim")</f>
        <v>0</v>
      </c>
      <c r="D6" s="6" t="n">
        <f aca="false">COUNTIFS('Base 2025'!$L$2:$L$561,$A6,'Base 2025'!$J$2:$J$561,"Sim",'Base 2025'!$I$2:$I$561,"Sim")</f>
        <v>0</v>
      </c>
      <c r="E6" s="6" t="n">
        <v>56</v>
      </c>
      <c r="F6" s="7" t="n">
        <f aca="false">C6+E6</f>
        <v>56</v>
      </c>
      <c r="G6" s="5" t="n">
        <f aca="false">IF(ISNUMBER(F6),F6*B6,"")</f>
        <v>328496</v>
      </c>
      <c r="H6" s="9" t="s">
        <v>15</v>
      </c>
      <c r="I6" s="4" t="s">
        <v>16</v>
      </c>
    </row>
    <row r="7" customFormat="false" ht="23.85" hidden="false" customHeight="false" outlineLevel="0" collapsed="false">
      <c r="A7" s="4" t="s">
        <v>17</v>
      </c>
      <c r="B7" s="5" t="n">
        <v>8729</v>
      </c>
      <c r="C7" s="6" t="n">
        <f aca="false">COUNTIFS('Base 2025'!$L$2:$L$561,$A7,'Base 2025'!$J$2:$J$561,"Sim",'Base 2025'!$H$2:$H$561,"Sim")</f>
        <v>0</v>
      </c>
      <c r="D7" s="6" t="n">
        <f aca="false">COUNTIFS('Base 2025'!$L$2:$L$561,$A7,'Base 2025'!$J$2:$J$561,"Sim",'Base 2025'!$I$2:$I$561,"Sim")</f>
        <v>0</v>
      </c>
      <c r="E7" s="6"/>
      <c r="F7" s="7" t="n">
        <f aca="false">C7</f>
        <v>0</v>
      </c>
      <c r="G7" s="5" t="n">
        <f aca="false">IF(ISNUMBER(F7),F7*B7,"")</f>
        <v>0</v>
      </c>
      <c r="H7" s="10" t="s">
        <v>18</v>
      </c>
      <c r="I7" s="4" t="s">
        <v>19</v>
      </c>
    </row>
    <row r="8" customFormat="false" ht="23.85" hidden="false" customHeight="false" outlineLevel="0" collapsed="false">
      <c r="A8" s="4" t="s">
        <v>20</v>
      </c>
      <c r="B8" s="5" t="n">
        <v>4364</v>
      </c>
      <c r="C8" s="6" t="n">
        <f aca="false">COUNTIFS('Base 2025'!$L$2:$L$561,$A8,'Base 2025'!$J$2:$J$561,"Sim",'Base 2025'!$H$2:$H$561,"Sim")</f>
        <v>0</v>
      </c>
      <c r="D8" s="6" t="n">
        <f aca="false">COUNTIFS('Base 2025'!$L$2:$L$561,$A8,'Base 2025'!$J$2:$J$561,"Sim",'Base 2025'!$I$2:$I$561,"Sim")</f>
        <v>0</v>
      </c>
      <c r="E8" s="6"/>
      <c r="F8" s="7" t="n">
        <f aca="false">C8</f>
        <v>0</v>
      </c>
      <c r="G8" s="5" t="n">
        <f aca="false">IF(ISNUMBER(F8),F8*B8,"")</f>
        <v>0</v>
      </c>
      <c r="H8" s="10" t="s">
        <v>18</v>
      </c>
      <c r="I8" s="4" t="s">
        <v>21</v>
      </c>
    </row>
    <row r="9" customFormat="false" ht="23.85" hidden="false" customHeight="false" outlineLevel="0" collapsed="false">
      <c r="A9" s="4" t="s">
        <v>22</v>
      </c>
      <c r="B9" s="5" t="n">
        <v>6546</v>
      </c>
      <c r="C9" s="6" t="n">
        <f aca="false">COUNTIFS('Base 2025'!$L$2:$L$561,$A9,'Base 2025'!$J$2:$J$561,"Sim",'Base 2025'!$H$2:$H$561,"Sim")</f>
        <v>0</v>
      </c>
      <c r="D9" s="6" t="n">
        <f aca="false">COUNTIFS('Base 2025'!$L$2:$L$561,$A9,'Base 2025'!$J$2:$J$561,"Sim",'Base 2025'!$I$2:$I$561,"Sim")</f>
        <v>0</v>
      </c>
      <c r="E9" s="6"/>
      <c r="F9" s="7" t="n">
        <f aca="false">C9</f>
        <v>0</v>
      </c>
      <c r="G9" s="5" t="n">
        <f aca="false">IF(ISNUMBER(F9),F9*B9,"")</f>
        <v>0</v>
      </c>
      <c r="H9" s="10" t="s">
        <v>18</v>
      </c>
      <c r="I9" s="4" t="s">
        <v>21</v>
      </c>
    </row>
    <row r="10" customFormat="false" ht="15" hidden="false" customHeight="false" outlineLevel="0" collapsed="false">
      <c r="A10" s="4" t="s">
        <v>23</v>
      </c>
      <c r="B10" s="5" t="n">
        <v>844</v>
      </c>
      <c r="C10" s="6" t="n">
        <f aca="false">COUNTIFS('Base 2025'!$L$2:$L$561,$A10,'Base 2025'!$J$2:$J$561,"Sim",'Base 2025'!$H$2:$H$561,"Sim")</f>
        <v>3</v>
      </c>
      <c r="D10" s="6" t="n">
        <f aca="false">COUNTIFS('Base 2025'!$L$2:$L$561,$A10,'Base 2025'!$J$2:$J$561,"Sim",'Base 2025'!$I$2:$I$561,"Sim")</f>
        <v>3</v>
      </c>
      <c r="E10" s="6"/>
      <c r="F10" s="7" t="n">
        <f aca="false">C10</f>
        <v>3</v>
      </c>
      <c r="G10" s="5" t="n">
        <f aca="false">IF(ISNUMBER(F10),F10*B10,"")</f>
        <v>2532</v>
      </c>
      <c r="H10" s="8" t="s">
        <v>12</v>
      </c>
      <c r="I10" s="4" t="s">
        <v>24</v>
      </c>
    </row>
    <row r="11" customFormat="false" ht="23.85" hidden="false" customHeight="false" outlineLevel="0" collapsed="false">
      <c r="A11" s="4" t="s">
        <v>25</v>
      </c>
      <c r="B11" s="5" t="n">
        <v>7946</v>
      </c>
      <c r="C11" s="6" t="n">
        <f aca="false">COUNTIFS('Base 2025'!$L$2:$L$561,$A11,'Base 2025'!$J$2:$J$561,"Sim",'Base 2025'!$H$2:$H$561,"Sim")</f>
        <v>0</v>
      </c>
      <c r="D11" s="6" t="n">
        <f aca="false">COUNTIFS('Base 2025'!$L$2:$L$561,$A11,'Base 2025'!$J$2:$J$561,"Sim",'Base 2025'!$I$2:$I$561,"Sim")</f>
        <v>0</v>
      </c>
      <c r="E11" s="6"/>
      <c r="F11" s="7" t="n">
        <f aca="false">C11</f>
        <v>0</v>
      </c>
      <c r="G11" s="5" t="n">
        <f aca="false">IF(ISNUMBER(F11),F11*B11,"")</f>
        <v>0</v>
      </c>
      <c r="H11" s="10" t="s">
        <v>18</v>
      </c>
      <c r="I11" s="4" t="s">
        <v>21</v>
      </c>
    </row>
    <row r="12" customFormat="false" ht="23.85" hidden="false" customHeight="false" outlineLevel="0" collapsed="false">
      <c r="A12" s="4" t="s">
        <v>26</v>
      </c>
      <c r="B12" s="5" t="n">
        <v>13554</v>
      </c>
      <c r="C12" s="6" t="n">
        <f aca="false">COUNTIFS('Base 2025'!$L$2:$L$561,$A12,'Base 2025'!$J$2:$J$561,"Sim",'Base 2025'!$H$2:$H$561,"Sim")</f>
        <v>17</v>
      </c>
      <c r="D12" s="6" t="n">
        <f aca="false">COUNTIFS('Base 2025'!$L$2:$L$561,$A12,'Base 2025'!$J$2:$J$561,"Sim",'Base 2025'!$I$2:$I$561,"Sim")</f>
        <v>17</v>
      </c>
      <c r="E12" s="6"/>
      <c r="F12" s="7" t="n">
        <f aca="false">C12</f>
        <v>17</v>
      </c>
      <c r="G12" s="5" t="n">
        <f aca="false">IF(ISNUMBER(F12),F12*B12,"")</f>
        <v>230418</v>
      </c>
      <c r="H12" s="8" t="s">
        <v>12</v>
      </c>
      <c r="I12" s="4" t="s">
        <v>27</v>
      </c>
    </row>
    <row r="13" customFormat="false" ht="23.85" hidden="false" customHeight="false" outlineLevel="0" collapsed="false">
      <c r="A13" s="4" t="s">
        <v>28</v>
      </c>
      <c r="B13" s="5" t="n">
        <v>27108</v>
      </c>
      <c r="C13" s="6" t="n">
        <f aca="false">COUNTIFS('Base 2025'!$L$2:$L$561,$A13,'Base 2025'!$J$2:$J$561,"Sim",'Base 2025'!$H$2:$H$561,"Sim")</f>
        <v>5</v>
      </c>
      <c r="D13" s="6" t="n">
        <f aca="false">COUNTIFS('Base 2025'!$L$2:$L$561,$A13,'Base 2025'!$J$2:$J$561,"Sim",'Base 2025'!$I$2:$I$561,"Sim")</f>
        <v>6</v>
      </c>
      <c r="E13" s="6"/>
      <c r="F13" s="7" t="n">
        <f aca="false">C13</f>
        <v>5</v>
      </c>
      <c r="G13" s="5" t="n">
        <f aca="false">IF(ISNUMBER(F13),F13*B13,"")</f>
        <v>135540</v>
      </c>
      <c r="H13" s="8" t="s">
        <v>12</v>
      </c>
      <c r="I13" s="4" t="s">
        <v>29</v>
      </c>
    </row>
    <row r="14" customFormat="false" ht="23.85" hidden="false" customHeight="false" outlineLevel="0" collapsed="false">
      <c r="A14" s="4" t="s">
        <v>30</v>
      </c>
      <c r="B14" s="5" t="n">
        <v>14545</v>
      </c>
      <c r="C14" s="6" t="n">
        <f aca="false">COUNTIFS('Base 2025'!$L$2:$L$561,$A14,'Base 2025'!$J$2:$J$561,"Sim",'Base 2025'!$H$2:$H$561,"Sim")</f>
        <v>0</v>
      </c>
      <c r="D14" s="6" t="n">
        <f aca="false">COUNTIFS('Base 2025'!$L$2:$L$561,$A14,'Base 2025'!$J$2:$J$561,"Sim",'Base 2025'!$I$2:$I$561,"Sim")</f>
        <v>0</v>
      </c>
      <c r="E14" s="6"/>
      <c r="F14" s="7" t="n">
        <f aca="false">C14</f>
        <v>0</v>
      </c>
      <c r="G14" s="5" t="n">
        <f aca="false">IF(ISNUMBER(F14),F14*B14,"")</f>
        <v>0</v>
      </c>
      <c r="H14" s="10" t="s">
        <v>18</v>
      </c>
      <c r="I14" s="4" t="s">
        <v>21</v>
      </c>
    </row>
    <row r="15" customFormat="false" ht="23.85" hidden="false" customHeight="false" outlineLevel="0" collapsed="false">
      <c r="A15" s="4" t="s">
        <v>31</v>
      </c>
      <c r="B15" s="5" t="n">
        <v>11785</v>
      </c>
      <c r="C15" s="6" t="n">
        <f aca="false">COUNTIFS('Base 2025'!$L$2:$L$561,$A15,'Base 2025'!$J$2:$J$561,"Sim",'Base 2025'!$H$2:$H$561,"Sim")</f>
        <v>0</v>
      </c>
      <c r="D15" s="6" t="n">
        <f aca="false">COUNTIFS('Base 2025'!$L$2:$L$561,$A15,'Base 2025'!$J$2:$J$561,"Sim",'Base 2025'!$I$2:$I$561,"Sim")</f>
        <v>0</v>
      </c>
      <c r="E15" s="6"/>
      <c r="F15" s="7" t="n">
        <f aca="false">C15</f>
        <v>0</v>
      </c>
      <c r="G15" s="5" t="n">
        <f aca="false">IF(ISNUMBER(F15),F15*B15,"")</f>
        <v>0</v>
      </c>
      <c r="H15" s="10" t="s">
        <v>18</v>
      </c>
      <c r="I15" s="4" t="s">
        <v>21</v>
      </c>
    </row>
    <row r="16" customFormat="false" ht="15" hidden="false" customHeight="false" outlineLevel="0" collapsed="false">
      <c r="A16" s="4" t="s">
        <v>32</v>
      </c>
      <c r="B16" s="5" t="n">
        <v>117535</v>
      </c>
      <c r="C16" s="6" t="n">
        <f aca="false">COUNTIFS('Base 2025'!$L$2:$L$561,$A16,'Base 2025'!$J$2:$J$561,"Sim",'Base 2025'!$H$2:$H$561,"Sim")</f>
        <v>1</v>
      </c>
      <c r="D16" s="6" t="n">
        <f aca="false">COUNTIFS('Base 2025'!$L$2:$L$561,$A16,'Base 2025'!$J$2:$J$561,"Sim",'Base 2025'!$I$2:$I$561,"Sim")</f>
        <v>1</v>
      </c>
      <c r="E16" s="6"/>
      <c r="F16" s="7" t="n">
        <f aca="false">C16</f>
        <v>1</v>
      </c>
      <c r="G16" s="5" t="n">
        <f aca="false">IF(ISNUMBER(F16),F16*B16,"")</f>
        <v>117535</v>
      </c>
      <c r="H16" s="8" t="s">
        <v>12</v>
      </c>
      <c r="I16" s="4" t="s">
        <v>33</v>
      </c>
    </row>
    <row r="17" customFormat="false" ht="35.05" hidden="false" customHeight="false" outlineLevel="0" collapsed="false">
      <c r="A17" s="4" t="s">
        <v>34</v>
      </c>
      <c r="B17" s="5" t="n">
        <v>58768</v>
      </c>
      <c r="C17" s="6" t="n">
        <f aca="false">COUNTIFS('Base 2025'!$L$2:$L$561,$A17,'Base 2025'!$J$2:$J$561,"Sim",'Base 2025'!$H$2:$H$561,"Sim")</f>
        <v>8</v>
      </c>
      <c r="D17" s="6" t="n">
        <f aca="false">COUNTIFS('Base 2025'!$L$2:$L$561,$A17,'Base 2025'!$J$2:$J$561,"Sim",'Base 2025'!$I$2:$I$561,"Sim")</f>
        <v>10</v>
      </c>
      <c r="E17" s="6"/>
      <c r="F17" s="7" t="n">
        <f aca="false">C17</f>
        <v>8</v>
      </c>
      <c r="G17" s="5" t="n">
        <f aca="false">IF(ISNUMBER(F17),F17*B17,"")</f>
        <v>470144</v>
      </c>
      <c r="H17" s="8" t="s">
        <v>12</v>
      </c>
      <c r="I17" s="4" t="s">
        <v>35</v>
      </c>
    </row>
    <row r="18" customFormat="false" ht="23.85" hidden="false" customHeight="false" outlineLevel="0" collapsed="false">
      <c r="A18" s="4" t="s">
        <v>36</v>
      </c>
      <c r="B18" s="5" t="n">
        <v>41136</v>
      </c>
      <c r="C18" s="6" t="n">
        <f aca="false">COUNTIFS('Base 2025'!$L$2:$L$561,$A18,'Base 2025'!$J$2:$J$561,"Sim",'Base 2025'!$H$2:$H$561,"Sim")</f>
        <v>17</v>
      </c>
      <c r="D18" s="6" t="n">
        <f aca="false">COUNTIFS('Base 2025'!$L$2:$L$561,$A18,'Base 2025'!$J$2:$J$561,"Sim",'Base 2025'!$I$2:$I$561,"Sim")</f>
        <v>19</v>
      </c>
      <c r="E18" s="6"/>
      <c r="F18" s="7" t="n">
        <f aca="false">C18</f>
        <v>17</v>
      </c>
      <c r="G18" s="5" t="n">
        <f aca="false">IF(ISNUMBER(F18),F18*B18,"")</f>
        <v>699312</v>
      </c>
      <c r="H18" s="8" t="s">
        <v>12</v>
      </c>
      <c r="I18" s="4" t="s">
        <v>37</v>
      </c>
    </row>
    <row r="19" customFormat="false" ht="23.85" hidden="false" customHeight="false" outlineLevel="0" collapsed="false">
      <c r="A19" s="4" t="s">
        <v>38</v>
      </c>
      <c r="B19" s="5" t="n">
        <v>41136</v>
      </c>
      <c r="C19" s="6" t="n">
        <f aca="false">COUNTIFS('Base 2025'!$L$2:$L$561,$A19,'Base 2025'!$J$2:$J$561,"Sim",'Base 2025'!$H$2:$H$561,"Sim")</f>
        <v>0</v>
      </c>
      <c r="D19" s="6" t="n">
        <f aca="false">COUNTIFS('Base 2025'!$L$2:$L$561,$A19,'Base 2025'!$J$2:$J$561,"Sim",'Base 2025'!$I$2:$I$561,"Sim")</f>
        <v>0</v>
      </c>
      <c r="E19" s="6"/>
      <c r="F19" s="7" t="n">
        <f aca="false">C19</f>
        <v>0</v>
      </c>
      <c r="G19" s="5" t="n">
        <f aca="false">IF(ISNUMBER(F19),F19*B19,"")</f>
        <v>0</v>
      </c>
      <c r="H19" s="10" t="s">
        <v>18</v>
      </c>
      <c r="I19" s="4" t="s">
        <v>21</v>
      </c>
    </row>
    <row r="20" customFormat="false" ht="15" hidden="false" customHeight="false" outlineLevel="0" collapsed="false">
      <c r="A20" s="4" t="s">
        <v>39</v>
      </c>
      <c r="B20" s="5" t="n">
        <v>58766</v>
      </c>
      <c r="C20" s="6" t="n">
        <f aca="false">COUNTIFS('Base 2025'!$L$2:$L$561,$A20,'Base 2025'!$J$2:$J$561,"Sim",'Base 2025'!$H$2:$H$561,"Sim")</f>
        <v>1</v>
      </c>
      <c r="D20" s="6" t="n">
        <f aca="false">COUNTIFS('Base 2025'!$L$2:$L$561,$A20,'Base 2025'!$J$2:$J$561,"Sim",'Base 2025'!$I$2:$I$561,"Sim")</f>
        <v>1</v>
      </c>
      <c r="E20" s="6"/>
      <c r="F20" s="7" t="n">
        <f aca="false">C20</f>
        <v>1</v>
      </c>
      <c r="G20" s="5" t="n">
        <f aca="false">IF(ISNUMBER(F20),F20*B20,"")</f>
        <v>58766</v>
      </c>
      <c r="H20" s="8" t="s">
        <v>12</v>
      </c>
      <c r="I20" s="4" t="s">
        <v>40</v>
      </c>
    </row>
    <row r="21" customFormat="false" ht="23.85" hidden="false" customHeight="false" outlineLevel="0" collapsed="false">
      <c r="A21" s="4" t="s">
        <v>41</v>
      </c>
      <c r="B21" s="5" t="n">
        <v>29383</v>
      </c>
      <c r="C21" s="6" t="n">
        <f aca="false">COUNTIFS('Base 2025'!$L$2:$L$561,$A21,'Base 2025'!$J$2:$J$561,"Sim",'Base 2025'!$H$2:$H$561,"Sim")</f>
        <v>0</v>
      </c>
      <c r="D21" s="6" t="n">
        <f aca="false">COUNTIFS('Base 2025'!$L$2:$L$561,$A21,'Base 2025'!$J$2:$J$561,"Sim",'Base 2025'!$I$2:$I$561,"Sim")</f>
        <v>0</v>
      </c>
      <c r="E21" s="6"/>
      <c r="F21" s="7" t="n">
        <f aca="false">C21</f>
        <v>0</v>
      </c>
      <c r="G21" s="5" t="n">
        <f aca="false">IF(ISNUMBER(F21),F21*B21,"")</f>
        <v>0</v>
      </c>
      <c r="H21" s="10" t="s">
        <v>18</v>
      </c>
      <c r="I21" s="4" t="s">
        <v>21</v>
      </c>
    </row>
    <row r="22" customFormat="false" ht="23.85" hidden="false" customHeight="false" outlineLevel="0" collapsed="false">
      <c r="A22" s="4" t="s">
        <v>42</v>
      </c>
      <c r="B22" s="5" t="n">
        <v>25754</v>
      </c>
      <c r="C22" s="6" t="n">
        <f aca="false">COUNTIFS('Base 2025'!$L$2:$L$561,$A22,'Base 2025'!$J$2:$J$561,"Sim",'Base 2025'!$H$2:$H$561,"Sim")</f>
        <v>10</v>
      </c>
      <c r="D22" s="6" t="n">
        <f aca="false">COUNTIFS('Base 2025'!$L$2:$L$561,$A22,'Base 2025'!$J$2:$J$561,"Sim",'Base 2025'!$I$2:$I$561,"Sim")</f>
        <v>10</v>
      </c>
      <c r="E22" s="6"/>
      <c r="F22" s="7" t="n">
        <f aca="false">C22</f>
        <v>10</v>
      </c>
      <c r="G22" s="5" t="n">
        <f aca="false">IF(ISNUMBER(F22),F22*B22,"")</f>
        <v>257540</v>
      </c>
      <c r="H22" s="8" t="s">
        <v>12</v>
      </c>
      <c r="I22" s="4" t="s">
        <v>43</v>
      </c>
    </row>
    <row r="23" customFormat="false" ht="15" hidden="false" customHeight="false" outlineLevel="0" collapsed="false">
      <c r="A23" s="4" t="s">
        <v>44</v>
      </c>
      <c r="B23" s="5" t="n">
        <v>20767</v>
      </c>
      <c r="C23" s="6" t="n">
        <f aca="false">COUNTIFS('Base 2025'!$L$2:$L$561,$A23,'Base 2025'!$J$2:$J$561,"Sim",'Base 2025'!$H$2:$H$561,"Sim")</f>
        <v>1</v>
      </c>
      <c r="D23" s="6" t="n">
        <f aca="false">COUNTIFS('Base 2025'!$L$2:$L$561,$A23,'Base 2025'!$J$2:$J$561,"Sim",'Base 2025'!$I$2:$I$561,"Sim")</f>
        <v>1</v>
      </c>
      <c r="E23" s="6"/>
      <c r="F23" s="7" t="n">
        <f aca="false">C23</f>
        <v>1</v>
      </c>
      <c r="G23" s="5" t="n">
        <f aca="false">IF(ISNUMBER(F23),F23*B23,"")</f>
        <v>20767</v>
      </c>
      <c r="H23" s="8" t="s">
        <v>12</v>
      </c>
      <c r="I23" s="4" t="s">
        <v>40</v>
      </c>
    </row>
    <row r="24" customFormat="false" ht="15" hidden="false" customHeight="false" outlineLevel="0" collapsed="false">
      <c r="A24" s="4" t="s">
        <v>45</v>
      </c>
      <c r="B24" s="5" t="n">
        <v>14692</v>
      </c>
      <c r="C24" s="6" t="n">
        <f aca="false">COUNTIFS('Base 2025'!$L$2:$L$561,$A24,'Base 2025'!$J$2:$J$561,"Sim",'Base 2025'!$H$2:$H$561,"Sim")</f>
        <v>4</v>
      </c>
      <c r="D24" s="6" t="n">
        <f aca="false">COUNTIFS('Base 2025'!$L$2:$L$561,$A24,'Base 2025'!$J$2:$J$561,"Sim",'Base 2025'!$I$2:$I$561,"Sim")</f>
        <v>4</v>
      </c>
      <c r="E24" s="6"/>
      <c r="F24" s="7" t="n">
        <f aca="false">C24</f>
        <v>4</v>
      </c>
      <c r="G24" s="5" t="n">
        <f aca="false">IF(ISNUMBER(F24),F24*B24,"")</f>
        <v>58768</v>
      </c>
      <c r="H24" s="8" t="s">
        <v>12</v>
      </c>
      <c r="I24" s="4" t="s">
        <v>46</v>
      </c>
    </row>
    <row r="25" customFormat="false" ht="15" hidden="false" customHeight="false" outlineLevel="0" collapsed="false">
      <c r="A25" s="4" t="s">
        <v>47</v>
      </c>
      <c r="B25" s="5" t="n">
        <v>11455</v>
      </c>
      <c r="C25" s="6" t="n">
        <f aca="false">COUNTIFS('Base 2025'!$L$2:$L$561,$A25,'Base 2025'!$J$2:$J$561,"Sim",'Base 2025'!$H$2:$H$561,"Sim")</f>
        <v>4</v>
      </c>
      <c r="D25" s="6" t="n">
        <f aca="false">COUNTIFS('Base 2025'!$L$2:$L$561,$A25,'Base 2025'!$J$2:$J$561,"Sim",'Base 2025'!$I$2:$I$561,"Sim")</f>
        <v>4</v>
      </c>
      <c r="E25" s="6"/>
      <c r="F25" s="7" t="n">
        <f aca="false">C25</f>
        <v>4</v>
      </c>
      <c r="G25" s="5" t="n">
        <f aca="false">IF(ISNUMBER(F25),F25*B25,"")</f>
        <v>45820</v>
      </c>
      <c r="H25" s="8" t="s">
        <v>12</v>
      </c>
      <c r="I25" s="4" t="s">
        <v>48</v>
      </c>
    </row>
    <row r="26" customFormat="false" ht="23.85" hidden="false" customHeight="false" outlineLevel="0" collapsed="false">
      <c r="A26" s="4" t="s">
        <v>49</v>
      </c>
      <c r="B26" s="5" t="n">
        <v>6615</v>
      </c>
      <c r="C26" s="6" t="n">
        <f aca="false">COUNTIFS('Base 2025'!$L$2:$L$561,$A26,'Base 2025'!$J$2:$J$561,"Sim",'Base 2025'!$H$2:$H$561,"Sim")</f>
        <v>13</v>
      </c>
      <c r="D26" s="6" t="n">
        <f aca="false">COUNTIFS('Base 2025'!$L$2:$L$561,$A26,'Base 2025'!$J$2:$J$561,"Sim",'Base 2025'!$I$2:$I$561,"Sim")</f>
        <v>13</v>
      </c>
      <c r="E26" s="6"/>
      <c r="F26" s="11" t="n">
        <v>12</v>
      </c>
      <c r="G26" s="5" t="n">
        <f aca="false">IF(ISNUMBER(F26),F26*B26,"")</f>
        <v>79380</v>
      </c>
      <c r="H26" s="12" t="s">
        <v>50</v>
      </c>
      <c r="I26" s="4" t="s">
        <v>51</v>
      </c>
    </row>
    <row r="27" customFormat="false" ht="35.05" hidden="false" customHeight="false" outlineLevel="0" collapsed="false">
      <c r="A27" s="4" t="s">
        <v>52</v>
      </c>
      <c r="B27" s="5" t="n">
        <v>5715</v>
      </c>
      <c r="C27" s="6" t="n">
        <f aca="false">COUNTIFS('Base 2025'!$L$2:$L$561,$A27,'Base 2025'!$J$2:$J$561,"Sim",'Base 2025'!$H$2:$H$561,"Sim")</f>
        <v>35</v>
      </c>
      <c r="D27" s="6" t="n">
        <f aca="false">COUNTIFS('Base 2025'!$L$2:$L$561,$A27,'Base 2025'!$J$2:$J$561,"Sim",'Base 2025'!$I$2:$I$561,"Sim")</f>
        <v>43</v>
      </c>
      <c r="E27" s="6"/>
      <c r="F27" s="7" t="n">
        <f aca="false">C27</f>
        <v>35</v>
      </c>
      <c r="G27" s="5" t="n">
        <f aca="false">IF(ISNUMBER(F27),F27*B27,"")</f>
        <v>200025</v>
      </c>
      <c r="H27" s="8" t="s">
        <v>12</v>
      </c>
      <c r="I27" s="4" t="s">
        <v>53</v>
      </c>
    </row>
    <row r="28" customFormat="false" ht="23.85" hidden="false" customHeight="false" outlineLevel="0" collapsed="false">
      <c r="A28" s="4" t="s">
        <v>54</v>
      </c>
      <c r="B28" s="5" t="n">
        <v>4572</v>
      </c>
      <c r="C28" s="6" t="n">
        <f aca="false">COUNTIFS('Base 2025'!$L$2:$L$561,$A28,'Base 2025'!$J$2:$J$561,"Sim",'Base 2025'!$H$2:$H$561,"Sim")</f>
        <v>13</v>
      </c>
      <c r="D28" s="6" t="n">
        <f aca="false">COUNTIFS('Base 2025'!$L$2:$L$561,$A28,'Base 2025'!$J$2:$J$561,"Sim",'Base 2025'!$I$2:$I$561,"Sim")</f>
        <v>13</v>
      </c>
      <c r="E28" s="6"/>
      <c r="F28" s="7" t="n">
        <f aca="false">C28</f>
        <v>13</v>
      </c>
      <c r="G28" s="5" t="n">
        <f aca="false">IF(ISNUMBER(F28),F28*B28,"")</f>
        <v>59436</v>
      </c>
      <c r="H28" s="8" t="s">
        <v>12</v>
      </c>
      <c r="I28" s="4" t="s">
        <v>55</v>
      </c>
    </row>
    <row r="29" customFormat="false" ht="23.85" hidden="false" customHeight="false" outlineLevel="0" collapsed="false">
      <c r="A29" s="4" t="s">
        <v>56</v>
      </c>
      <c r="B29" s="5" t="n">
        <v>8868</v>
      </c>
      <c r="C29" s="6" t="n">
        <f aca="false">COUNTIFS('Base 2025'!$L$2:$L$561,$A29,'Base 2025'!$J$2:$J$561,"Sim",'Base 2025'!$H$2:$H$561,"Sim")</f>
        <v>15</v>
      </c>
      <c r="D29" s="6" t="n">
        <f aca="false">COUNTIFS('Base 2025'!$L$2:$L$561,$A29,'Base 2025'!$J$2:$J$561,"Sim",'Base 2025'!$I$2:$I$561,"Sim")</f>
        <v>17</v>
      </c>
      <c r="E29" s="6"/>
      <c r="F29" s="7" t="n">
        <f aca="false">C29</f>
        <v>15</v>
      </c>
      <c r="G29" s="5" t="n">
        <f aca="false">IF(ISNUMBER(F29),F29*B29,"")</f>
        <v>133020</v>
      </c>
      <c r="H29" s="8" t="s">
        <v>12</v>
      </c>
      <c r="I29" s="4" t="s">
        <v>57</v>
      </c>
    </row>
    <row r="30" customFormat="false" ht="23.85" hidden="false" customHeight="false" outlineLevel="0" collapsed="false">
      <c r="A30" s="4" t="s">
        <v>58</v>
      </c>
      <c r="B30" s="5" t="n">
        <v>7122</v>
      </c>
      <c r="C30" s="6" t="n">
        <f aca="false">COUNTIFS('Base 2025'!$L$2:$L$561,$A30,'Base 2025'!$J$2:$J$561,"Sim",'Base 2025'!$H$2:$H$561,"Sim")</f>
        <v>0</v>
      </c>
      <c r="D30" s="6" t="n">
        <f aca="false">COUNTIFS('Base 2025'!$L$2:$L$561,$A30,'Base 2025'!$J$2:$J$561,"Sim",'Base 2025'!$I$2:$I$561,"Sim")</f>
        <v>0</v>
      </c>
      <c r="E30" s="6"/>
      <c r="F30" s="7" t="n">
        <f aca="false">C30</f>
        <v>0</v>
      </c>
      <c r="G30" s="5" t="n">
        <f aca="false">IF(ISNUMBER(F30),F30*B30,"")</f>
        <v>0</v>
      </c>
      <c r="H30" s="10" t="s">
        <v>18</v>
      </c>
      <c r="I30" s="4" t="s">
        <v>21</v>
      </c>
    </row>
    <row r="31" customFormat="false" ht="15" hidden="false" customHeight="false" outlineLevel="0" collapsed="false">
      <c r="A31" s="4" t="s">
        <v>59</v>
      </c>
      <c r="B31" s="5" t="n">
        <v>3824</v>
      </c>
      <c r="C31" s="6" t="n">
        <f aca="false">COUNTIFS('Base 2025'!$L$2:$L$561,$A31,'Base 2025'!$J$2:$J$561,"Sim",'Base 2025'!$H$2:$H$561,"Sim")</f>
        <v>11</v>
      </c>
      <c r="D31" s="6" t="n">
        <f aca="false">COUNTIFS('Base 2025'!$L$2:$L$561,$A31,'Base 2025'!$J$2:$J$561,"Sim",'Base 2025'!$I$2:$I$561,"Sim")</f>
        <v>12</v>
      </c>
      <c r="E31" s="6"/>
      <c r="F31" s="7" t="n">
        <f aca="false">C31</f>
        <v>11</v>
      </c>
      <c r="G31" s="5" t="n">
        <f aca="false">IF(ISNUMBER(F31),F31*B31,"")</f>
        <v>42064</v>
      </c>
      <c r="H31" s="12" t="s">
        <v>50</v>
      </c>
      <c r="I31" s="4" t="s">
        <v>60</v>
      </c>
    </row>
    <row r="32" customFormat="false" ht="15" hidden="false" customHeight="false" outlineLevel="0" collapsed="false">
      <c r="A32" s="4" t="s">
        <v>61</v>
      </c>
      <c r="B32" s="5" t="n">
        <v>11904</v>
      </c>
      <c r="C32" s="6" t="n">
        <f aca="false">COUNTIFS('Base 2025'!$L$2:$L$561,$A32,'Base 2025'!$J$2:$J$561,"Sim",'Base 2025'!$H$2:$H$561,"Sim")</f>
        <v>6</v>
      </c>
      <c r="D32" s="6" t="n">
        <f aca="false">COUNTIFS('Base 2025'!$L$2:$L$561,$A32,'Base 2025'!$J$2:$J$561,"Sim",'Base 2025'!$I$2:$I$561,"Sim")</f>
        <v>7</v>
      </c>
      <c r="E32" s="6"/>
      <c r="F32" s="7" t="n">
        <f aca="false">C32</f>
        <v>6</v>
      </c>
      <c r="G32" s="5" t="n">
        <f aca="false">IF(ISNUMBER(F32),F32*B32,"")</f>
        <v>71424</v>
      </c>
      <c r="H32" s="8" t="s">
        <v>12</v>
      </c>
      <c r="I32" s="4" t="s">
        <v>62</v>
      </c>
    </row>
    <row r="33" customFormat="false" ht="23.85" hidden="false" customHeight="false" outlineLevel="0" collapsed="false">
      <c r="A33" s="4" t="s">
        <v>63</v>
      </c>
      <c r="B33" s="5" t="n">
        <v>4216</v>
      </c>
      <c r="C33" s="6" t="n">
        <f aca="false">COUNTIFS('Base 2025'!$L$2:$L$561,$A33,'Base 2025'!$J$2:$J$561,"Sim",'Base 2025'!$H$2:$H$561,"Sim")</f>
        <v>0</v>
      </c>
      <c r="D33" s="6" t="n">
        <f aca="false">COUNTIFS('Base 2025'!$L$2:$L$561,$A33,'Base 2025'!$J$2:$J$561,"Sim",'Base 2025'!$I$2:$I$561,"Sim")</f>
        <v>0</v>
      </c>
      <c r="E33" s="6"/>
      <c r="F33" s="7" t="n">
        <f aca="false">C33</f>
        <v>0</v>
      </c>
      <c r="G33" s="5" t="n">
        <f aca="false">IF(ISNUMBER(F33),F33*B33,"")</f>
        <v>0</v>
      </c>
      <c r="H33" s="10" t="s">
        <v>18</v>
      </c>
      <c r="I33" s="4" t="s">
        <v>21</v>
      </c>
    </row>
    <row r="34" customFormat="false" ht="15" hidden="false" customHeight="false" outlineLevel="0" collapsed="false">
      <c r="A34" s="4" t="s">
        <v>64</v>
      </c>
      <c r="B34" s="5" t="n">
        <v>25684</v>
      </c>
      <c r="C34" s="6" t="n">
        <f aca="false">COUNTIFS('Base 2025'!$L$2:$L$561,$A34,'Base 2025'!$J$2:$J$561,"Sim",'Base 2025'!$H$2:$H$561,"Sim")</f>
        <v>3</v>
      </c>
      <c r="D34" s="6" t="n">
        <f aca="false">COUNTIFS('Base 2025'!$L$2:$L$561,$A34,'Base 2025'!$J$2:$J$561,"Sim",'Base 2025'!$I$2:$I$561,"Sim")</f>
        <v>4</v>
      </c>
      <c r="E34" s="6"/>
      <c r="F34" s="7" t="n">
        <f aca="false">C34</f>
        <v>3</v>
      </c>
      <c r="G34" s="5" t="n">
        <f aca="false">IF(ISNUMBER(F34),F34*B34,"")</f>
        <v>77052</v>
      </c>
      <c r="H34" s="8" t="s">
        <v>12</v>
      </c>
      <c r="I34" s="4" t="s">
        <v>24</v>
      </c>
    </row>
    <row r="35" customFormat="false" ht="23.85" hidden="false" customHeight="false" outlineLevel="0" collapsed="false">
      <c r="A35" s="4" t="s">
        <v>65</v>
      </c>
      <c r="B35" s="5" t="n">
        <v>5137</v>
      </c>
      <c r="C35" s="6" t="n">
        <f aca="false">COUNTIFS('Base 2025'!$L$2:$L$561,$A35,'Base 2025'!$J$2:$J$561,"Sim",'Base 2025'!$H$2:$H$561,"Sim")</f>
        <v>0</v>
      </c>
      <c r="D35" s="6" t="n">
        <f aca="false">COUNTIFS('Base 2025'!$L$2:$L$561,$A35,'Base 2025'!$J$2:$J$561,"Sim",'Base 2025'!$I$2:$I$561,"Sim")</f>
        <v>0</v>
      </c>
      <c r="E35" s="6"/>
      <c r="F35" s="7" t="n">
        <f aca="false">C35</f>
        <v>0</v>
      </c>
      <c r="G35" s="5" t="n">
        <f aca="false">IF(ISNUMBER(F35),F35*B35,"")</f>
        <v>0</v>
      </c>
      <c r="H35" s="10" t="s">
        <v>18</v>
      </c>
      <c r="I35" s="4" t="s">
        <v>21</v>
      </c>
    </row>
    <row r="36" customFormat="false" ht="15" hidden="false" customHeight="false" outlineLevel="0" collapsed="false">
      <c r="A36" s="4" t="s">
        <v>66</v>
      </c>
      <c r="B36" s="5" t="n">
        <v>25419</v>
      </c>
      <c r="C36" s="6" t="n">
        <f aca="false">COUNTIFS('Base 2025'!$L$2:$L$561,$A36,'Base 2025'!$J$2:$J$561,"Sim",'Base 2025'!$H$2:$H$561,"Sim")</f>
        <v>3</v>
      </c>
      <c r="D36" s="6" t="n">
        <f aca="false">COUNTIFS('Base 2025'!$L$2:$L$561,$A36,'Base 2025'!$J$2:$J$561,"Sim",'Base 2025'!$I$2:$I$561,"Sim")</f>
        <v>3</v>
      </c>
      <c r="E36" s="6"/>
      <c r="F36" s="7" t="n">
        <f aca="false">C36</f>
        <v>3</v>
      </c>
      <c r="G36" s="5" t="n">
        <f aca="false">IF(ISNUMBER(F36),F36*B36,"")</f>
        <v>76257</v>
      </c>
      <c r="H36" s="12" t="s">
        <v>50</v>
      </c>
      <c r="I36" s="4" t="s">
        <v>67</v>
      </c>
    </row>
    <row r="37" customFormat="false" ht="23.85" hidden="false" customHeight="false" outlineLevel="0" collapsed="false">
      <c r="A37" s="4" t="s">
        <v>68</v>
      </c>
      <c r="B37" s="5" t="n">
        <v>17696</v>
      </c>
      <c r="C37" s="6" t="n">
        <f aca="false">COUNTIFS('Base 2025'!$L$2:$L$561,$A37,'Base 2025'!$J$2:$J$561,"Sim",'Base 2025'!$H$2:$H$561,"Sim")</f>
        <v>0</v>
      </c>
      <c r="D37" s="6" t="n">
        <f aca="false">COUNTIFS('Base 2025'!$L$2:$L$561,$A37,'Base 2025'!$J$2:$J$561,"Sim",'Base 2025'!$I$2:$I$561,"Sim")</f>
        <v>0</v>
      </c>
      <c r="E37" s="6"/>
      <c r="F37" s="7" t="n">
        <f aca="false">C37</f>
        <v>0</v>
      </c>
      <c r="G37" s="5" t="n">
        <f aca="false">IF(ISNUMBER(F37),F37*B37,"")</f>
        <v>0</v>
      </c>
      <c r="H37" s="10" t="s">
        <v>18</v>
      </c>
      <c r="I37" s="4" t="s">
        <v>21</v>
      </c>
    </row>
    <row r="38" customFormat="false" ht="23.85" hidden="false" customHeight="false" outlineLevel="0" collapsed="false">
      <c r="A38" s="4" t="s">
        <v>69</v>
      </c>
      <c r="B38" s="5" t="n">
        <v>40957</v>
      </c>
      <c r="C38" s="6" t="n">
        <f aca="false">COUNTIFS('Base 2025'!$L$2:$L$561,$A38,'Base 2025'!$J$2:$J$561,"Sim",'Base 2025'!$H$2:$H$561,"Sim")</f>
        <v>0</v>
      </c>
      <c r="D38" s="6" t="n">
        <f aca="false">COUNTIFS('Base 2025'!$L$2:$L$561,$A38,'Base 2025'!$J$2:$J$561,"Sim",'Base 2025'!$I$2:$I$561,"Sim")</f>
        <v>0</v>
      </c>
      <c r="E38" s="6"/>
      <c r="F38" s="7" t="n">
        <f aca="false">C38</f>
        <v>0</v>
      </c>
      <c r="G38" s="5" t="n">
        <f aca="false">IF(ISNUMBER(F38),F38*B38,"")</f>
        <v>0</v>
      </c>
      <c r="H38" s="10" t="s">
        <v>18</v>
      </c>
      <c r="I38" s="4" t="s">
        <v>21</v>
      </c>
    </row>
    <row r="39" customFormat="false" ht="15" hidden="false" customHeight="false" outlineLevel="0" collapsed="false">
      <c r="A39" s="4" t="s">
        <v>70</v>
      </c>
      <c r="B39" s="5" t="n">
        <v>19364</v>
      </c>
      <c r="C39" s="6" t="n">
        <f aca="false">COUNTIFS('Base 2025'!$L$2:$L$561,$A39,'Base 2025'!$J$2:$J$561,"Sim",'Base 2025'!$H$2:$H$561,"Sim")</f>
        <v>1</v>
      </c>
      <c r="D39" s="6" t="n">
        <f aca="false">COUNTIFS('Base 2025'!$L$2:$L$561,$A39,'Base 2025'!$J$2:$J$561,"Sim",'Base 2025'!$I$2:$I$561,"Sim")</f>
        <v>1</v>
      </c>
      <c r="E39" s="6"/>
      <c r="F39" s="7" t="n">
        <f aca="false">C39</f>
        <v>1</v>
      </c>
      <c r="G39" s="5" t="n">
        <f aca="false">IF(ISNUMBER(F39),F39*B39,"")</f>
        <v>19364</v>
      </c>
      <c r="H39" s="8" t="s">
        <v>12</v>
      </c>
      <c r="I39" s="4" t="s">
        <v>40</v>
      </c>
    </row>
    <row r="40" customFormat="false" ht="23.85" hidden="false" customHeight="false" outlineLevel="0" collapsed="false">
      <c r="A40" s="4" t="s">
        <v>71</v>
      </c>
      <c r="B40" s="5" t="n">
        <v>29043</v>
      </c>
      <c r="C40" s="6" t="n">
        <f aca="false">COUNTIFS('Base 2025'!$L$2:$L$561,$A40,'Base 2025'!$J$2:$J$561,"Sim",'Base 2025'!$H$2:$H$561,"Sim")</f>
        <v>0</v>
      </c>
      <c r="D40" s="6" t="n">
        <f aca="false">COUNTIFS('Base 2025'!$L$2:$L$561,$A40,'Base 2025'!$J$2:$J$561,"Sim",'Base 2025'!$I$2:$I$561,"Sim")</f>
        <v>0</v>
      </c>
      <c r="E40" s="6"/>
      <c r="F40" s="7" t="n">
        <f aca="false">C40</f>
        <v>0</v>
      </c>
      <c r="G40" s="5" t="n">
        <f aca="false">IF(ISNUMBER(F40),F40*B40,"")</f>
        <v>0</v>
      </c>
      <c r="H40" s="10" t="s">
        <v>18</v>
      </c>
      <c r="I40" s="4" t="s">
        <v>21</v>
      </c>
    </row>
    <row r="41" customFormat="false" ht="23.85" hidden="false" customHeight="false" outlineLevel="0" collapsed="false">
      <c r="A41" s="4" t="s">
        <v>72</v>
      </c>
      <c r="B41" s="5" t="n">
        <v>29102</v>
      </c>
      <c r="C41" s="6" t="n">
        <f aca="false">COUNTIFS('Base 2025'!$L$2:$L$561,$A41,'Base 2025'!$J$2:$J$561,"Sim",'Base 2025'!$H$2:$H$561,"Sim")</f>
        <v>12</v>
      </c>
      <c r="D41" s="6" t="n">
        <f aca="false">COUNTIFS('Base 2025'!$L$2:$L$561,$A41,'Base 2025'!$J$2:$J$561,"Sim",'Base 2025'!$I$2:$I$561,"Sim")</f>
        <v>13</v>
      </c>
      <c r="E41" s="6"/>
      <c r="F41" s="7" t="n">
        <f aca="false">C41</f>
        <v>12</v>
      </c>
      <c r="G41" s="5" t="n">
        <f aca="false">IF(ISNUMBER(F41),F41*B41,"")</f>
        <v>349224</v>
      </c>
      <c r="H41" s="9" t="s">
        <v>15</v>
      </c>
      <c r="I41" s="4" t="s">
        <v>73</v>
      </c>
    </row>
    <row r="42" customFormat="false" ht="23.85" hidden="false" customHeight="false" outlineLevel="0" collapsed="false">
      <c r="A42" s="4" t="s">
        <v>74</v>
      </c>
      <c r="B42" s="5" t="n">
        <v>19364</v>
      </c>
      <c r="C42" s="6" t="n">
        <f aca="false">COUNTIFS('Base 2025'!$L$2:$L$561,$A42,'Base 2025'!$J$2:$J$561,"Sim",'Base 2025'!$H$2:$H$561,"Sim")</f>
        <v>0</v>
      </c>
      <c r="D42" s="6" t="n">
        <f aca="false">COUNTIFS('Base 2025'!$L$2:$L$561,$A42,'Base 2025'!$J$2:$J$561,"Sim",'Base 2025'!$I$2:$I$561,"Sim")</f>
        <v>0</v>
      </c>
      <c r="E42" s="6"/>
      <c r="F42" s="7" t="n">
        <f aca="false">C42</f>
        <v>0</v>
      </c>
      <c r="G42" s="5" t="n">
        <f aca="false">IF(ISNUMBER(F42),F42*B42,"")</f>
        <v>0</v>
      </c>
      <c r="H42" s="10" t="s">
        <v>18</v>
      </c>
      <c r="I42" s="4" t="s">
        <v>21</v>
      </c>
    </row>
    <row r="43" customFormat="false" ht="23.85" hidden="false" customHeight="false" outlineLevel="0" collapsed="false">
      <c r="A43" s="4" t="s">
        <v>75</v>
      </c>
      <c r="B43" s="5" t="n">
        <v>29043</v>
      </c>
      <c r="C43" s="6" t="n">
        <f aca="false">COUNTIFS('Base 2025'!$L$2:$L$561,$A43,'Base 2025'!$J$2:$J$561,"Sim",'Base 2025'!$H$2:$H$561,"Sim")</f>
        <v>0</v>
      </c>
      <c r="D43" s="6" t="n">
        <f aca="false">COUNTIFS('Base 2025'!$L$2:$L$561,$A43,'Base 2025'!$J$2:$J$561,"Sim",'Base 2025'!$I$2:$I$561,"Sim")</f>
        <v>0</v>
      </c>
      <c r="E43" s="6"/>
      <c r="F43" s="7" t="n">
        <f aca="false">C43</f>
        <v>0</v>
      </c>
      <c r="G43" s="5" t="n">
        <f aca="false">IF(ISNUMBER(F43),F43*B43,"")</f>
        <v>0</v>
      </c>
      <c r="H43" s="10" t="s">
        <v>18</v>
      </c>
      <c r="I43" s="4" t="s">
        <v>21</v>
      </c>
    </row>
    <row r="44" customFormat="false" ht="15" hidden="false" customHeight="false" outlineLevel="0" collapsed="false">
      <c r="A44" s="4" t="s">
        <v>76</v>
      </c>
      <c r="B44" s="5" t="n">
        <v>12093</v>
      </c>
      <c r="C44" s="6" t="n">
        <f aca="false">COUNTIFS('Base 2025'!$L$2:$L$561,$A44,'Base 2025'!$J$2:$J$561,"Sim",'Base 2025'!$H$2:$H$561,"Sim")</f>
        <v>4</v>
      </c>
      <c r="D44" s="6" t="n">
        <f aca="false">COUNTIFS('Base 2025'!$L$2:$L$561,$A44,'Base 2025'!$J$2:$J$561,"Sim",'Base 2025'!$I$2:$I$561,"Sim")</f>
        <v>4</v>
      </c>
      <c r="E44" s="6"/>
      <c r="F44" s="7" t="n">
        <f aca="false">C44</f>
        <v>4</v>
      </c>
      <c r="G44" s="5" t="n">
        <f aca="false">IF(ISNUMBER(F44),F44*B44,"")</f>
        <v>48372</v>
      </c>
      <c r="H44" s="8" t="s">
        <v>12</v>
      </c>
      <c r="I44" s="4" t="s">
        <v>77</v>
      </c>
    </row>
    <row r="45" customFormat="false" ht="15" hidden="false" customHeight="false" outlineLevel="0" collapsed="false">
      <c r="A45" s="4" t="s">
        <v>78</v>
      </c>
      <c r="B45" s="5" t="n">
        <v>5678</v>
      </c>
      <c r="C45" s="6" t="n">
        <f aca="false">COUNTIFS('Base 2025'!$L$2:$L$561,$A45,'Base 2025'!$J$2:$J$561,"Sim",'Base 2025'!$H$2:$H$561,"Sim")</f>
        <v>2</v>
      </c>
      <c r="D45" s="6" t="n">
        <f aca="false">COUNTIFS('Base 2025'!$L$2:$L$561,$A45,'Base 2025'!$J$2:$J$561,"Sim",'Base 2025'!$I$2:$I$561,"Sim")</f>
        <v>2</v>
      </c>
      <c r="E45" s="6"/>
      <c r="F45" s="7" t="n">
        <f aca="false">C45</f>
        <v>2</v>
      </c>
      <c r="G45" s="5" t="n">
        <f aca="false">IF(ISNUMBER(F45),F45*B45,"")</f>
        <v>11356</v>
      </c>
      <c r="H45" s="8" t="s">
        <v>12</v>
      </c>
      <c r="I45" s="4" t="s">
        <v>79</v>
      </c>
    </row>
    <row r="46" customFormat="false" ht="23.85" hidden="false" customHeight="false" outlineLevel="0" collapsed="false">
      <c r="A46" s="4" t="s">
        <v>80</v>
      </c>
      <c r="B46" s="5" t="n">
        <v>13020</v>
      </c>
      <c r="C46" s="6" t="n">
        <f aca="false">COUNTIFS('Base 2025'!$L$2:$L$561,$A46,'Base 2025'!$J$2:$J$561,"Sim",'Base 2025'!$H$2:$H$561,"Sim")</f>
        <v>0</v>
      </c>
      <c r="D46" s="6" t="n">
        <f aca="false">COUNTIFS('Base 2025'!$L$2:$L$561,$A46,'Base 2025'!$J$2:$J$561,"Sim",'Base 2025'!$I$2:$I$561,"Sim")</f>
        <v>0</v>
      </c>
      <c r="E46" s="6"/>
      <c r="F46" s="7" t="n">
        <f aca="false">C46</f>
        <v>0</v>
      </c>
      <c r="G46" s="5" t="n">
        <f aca="false">IF(ISNUMBER(F46),F46*B46,"")</f>
        <v>0</v>
      </c>
      <c r="H46" s="10" t="s">
        <v>18</v>
      </c>
      <c r="I46" s="4" t="s">
        <v>21</v>
      </c>
    </row>
    <row r="47" customFormat="false" ht="35.05" hidden="false" customHeight="false" outlineLevel="0" collapsed="false">
      <c r="A47" s="4" t="s">
        <v>81</v>
      </c>
      <c r="B47" s="5" t="n">
        <v>117535</v>
      </c>
      <c r="C47" s="6" t="n">
        <f aca="false">COUNTIFS('Base 2025'!$L$2:$L$561,$A47,'Base 2025'!$J$2:$J$561,"Sim",'Base 2025'!$H$2:$H$561,"Sim")</f>
        <v>1</v>
      </c>
      <c r="D47" s="6" t="n">
        <f aca="false">COUNTIFS('Base 2025'!$L$2:$L$561,$A47,'Base 2025'!$J$2:$J$561,"Sim",'Base 2025'!$I$2:$I$561,"Sim")</f>
        <v>1</v>
      </c>
      <c r="E47" s="6"/>
      <c r="F47" s="7" t="n">
        <f aca="false">C47</f>
        <v>1</v>
      </c>
      <c r="G47" s="5" t="n">
        <f aca="false">IF(ISNUMBER(F47),F47*B47,"")</f>
        <v>117535</v>
      </c>
      <c r="H47" s="8" t="s">
        <v>12</v>
      </c>
      <c r="I47" s="4" t="s">
        <v>82</v>
      </c>
    </row>
    <row r="48" customFormat="false" ht="15" hidden="false" customHeight="false" outlineLevel="0" collapsed="false">
      <c r="A48" s="4" t="s">
        <v>83</v>
      </c>
      <c r="B48" s="5" t="n">
        <v>22729</v>
      </c>
      <c r="C48" s="6" t="n">
        <f aca="false">COUNTIFS('Base 2025'!$L$2:$L$561,$A48,'Base 2025'!$J$2:$J$561,"Sim",'Base 2025'!$H$2:$H$561,"Sim")</f>
        <v>5</v>
      </c>
      <c r="D48" s="6" t="n">
        <f aca="false">COUNTIFS('Base 2025'!$L$2:$L$561,$A48,'Base 2025'!$J$2:$J$561,"Sim",'Base 2025'!$I$2:$I$561,"Sim")</f>
        <v>5</v>
      </c>
      <c r="E48" s="6"/>
      <c r="F48" s="7" t="n">
        <f aca="false">C48</f>
        <v>5</v>
      </c>
      <c r="G48" s="5" t="n">
        <f aca="false">IF(ISNUMBER(F48),F48*B48,"")</f>
        <v>113645</v>
      </c>
      <c r="H48" s="8" t="s">
        <v>12</v>
      </c>
      <c r="I48" s="4" t="s">
        <v>84</v>
      </c>
    </row>
    <row r="49" customFormat="false" ht="23.85" hidden="false" customHeight="false" outlineLevel="0" collapsed="false">
      <c r="A49" s="4" t="s">
        <v>85</v>
      </c>
      <c r="B49" s="5" t="n">
        <v>27699</v>
      </c>
      <c r="C49" s="6" t="n">
        <f aca="false">COUNTIFS('Base 2025'!$L$2:$L$561,$A49,'Base 2025'!$J$2:$J$561,"Sim",'Base 2025'!$H$2:$H$561,"Sim")</f>
        <v>0</v>
      </c>
      <c r="D49" s="6" t="n">
        <f aca="false">COUNTIFS('Base 2025'!$L$2:$L$561,$A49,'Base 2025'!$J$2:$J$561,"Sim",'Base 2025'!$I$2:$I$561,"Sim")</f>
        <v>0</v>
      </c>
      <c r="E49" s="6"/>
      <c r="F49" s="7" t="n">
        <f aca="false">C49</f>
        <v>0</v>
      </c>
      <c r="G49" s="5" t="n">
        <f aca="false">IF(ISNUMBER(F49),F49*B49,"")</f>
        <v>0</v>
      </c>
      <c r="H49" s="10" t="s">
        <v>18</v>
      </c>
      <c r="I49" s="4" t="s">
        <v>21</v>
      </c>
    </row>
    <row r="50" customFormat="false" ht="23.85" hidden="false" customHeight="false" outlineLevel="0" collapsed="false">
      <c r="A50" s="4" t="s">
        <v>86</v>
      </c>
      <c r="B50" s="5" t="n">
        <v>2598</v>
      </c>
      <c r="C50" s="6" t="n">
        <f aca="false">COUNTIFS('Base 2025'!$L$2:$L$561,$A50,'Base 2025'!$J$2:$J$561,"Sim",'Base 2025'!$H$2:$H$561,"Sim")</f>
        <v>1</v>
      </c>
      <c r="D50" s="6" t="n">
        <f aca="false">COUNTIFS('Base 2025'!$L$2:$L$561,$A50,'Base 2025'!$J$2:$J$561,"Sim",'Base 2025'!$I$2:$I$561,"Sim")</f>
        <v>1</v>
      </c>
      <c r="E50" s="6"/>
      <c r="F50" s="7"/>
      <c r="G50" s="5" t="str">
        <f aca="false">IF(ISNUMBER(F50),F50*B50,"")</f>
        <v/>
      </c>
      <c r="H50" s="9" t="s">
        <v>15</v>
      </c>
      <c r="I50" s="4" t="s">
        <v>87</v>
      </c>
    </row>
    <row r="51" customFormat="false" ht="23.85" hidden="false" customHeight="false" outlineLevel="0" collapsed="false">
      <c r="A51" s="4" t="s">
        <v>88</v>
      </c>
      <c r="B51" s="5" t="n">
        <v>18296</v>
      </c>
      <c r="C51" s="6" t="n">
        <f aca="false">COUNTIFS('Base 2025'!$L$2:$L$561,$A51,'Base 2025'!$J$2:$J$561,"Sim",'Base 2025'!$H$2:$H$561,"Sim")</f>
        <v>0</v>
      </c>
      <c r="D51" s="6" t="n">
        <f aca="false">COUNTIFS('Base 2025'!$L$2:$L$561,$A51,'Base 2025'!$J$2:$J$561,"Sim",'Base 2025'!$I$2:$I$561,"Sim")</f>
        <v>0</v>
      </c>
      <c r="E51" s="6"/>
      <c r="F51" s="7" t="n">
        <f aca="false">C51</f>
        <v>0</v>
      </c>
      <c r="G51" s="5" t="n">
        <f aca="false">IF(ISNUMBER(F51),F51*B51,"")</f>
        <v>0</v>
      </c>
      <c r="H51" s="10" t="s">
        <v>18</v>
      </c>
      <c r="I51" s="4" t="s">
        <v>21</v>
      </c>
    </row>
    <row r="52" customFormat="false" ht="23.85" hidden="false" customHeight="false" outlineLevel="0" collapsed="false">
      <c r="A52" s="4" t="s">
        <v>89</v>
      </c>
      <c r="B52" s="5" t="n">
        <v>7858</v>
      </c>
      <c r="C52" s="6" t="n">
        <f aca="false">COUNTIFS('Base 2025'!$L$2:$L$561,$A52,'Base 2025'!$J$2:$J$561,"Sim",'Base 2025'!$H$2:$H$561,"Sim")</f>
        <v>6</v>
      </c>
      <c r="D52" s="6" t="n">
        <f aca="false">COUNTIFS('Base 2025'!$L$2:$L$561,$A52,'Base 2025'!$J$2:$J$561,"Sim",'Base 2025'!$I$2:$I$561,"Sim")</f>
        <v>7</v>
      </c>
      <c r="E52" s="6"/>
      <c r="F52" s="7" t="n">
        <f aca="false">C52</f>
        <v>6</v>
      </c>
      <c r="G52" s="5" t="n">
        <f aca="false">IF(ISNUMBER(F52),F52*B52,"")</f>
        <v>47148</v>
      </c>
      <c r="H52" s="8" t="s">
        <v>12</v>
      </c>
      <c r="I52" s="4" t="s">
        <v>90</v>
      </c>
    </row>
    <row r="53" customFormat="false" ht="15" hidden="false" customHeight="false" outlineLevel="0" collapsed="false">
      <c r="A53" s="4" t="s">
        <v>91</v>
      </c>
      <c r="B53" s="5" t="n">
        <v>7030</v>
      </c>
      <c r="C53" s="6" t="n">
        <f aca="false">COUNTIFS('Base 2025'!$L$2:$L$561,$A53,'Base 2025'!$J$2:$J$561,"Sim",'Base 2025'!$H$2:$H$561,"Sim")</f>
        <v>3</v>
      </c>
      <c r="D53" s="6" t="n">
        <f aca="false">COUNTIFS('Base 2025'!$L$2:$L$561,$A53,'Base 2025'!$J$2:$J$561,"Sim",'Base 2025'!$I$2:$I$561,"Sim")</f>
        <v>4</v>
      </c>
      <c r="E53" s="6"/>
      <c r="F53" s="7" t="n">
        <f aca="false">C53</f>
        <v>3</v>
      </c>
      <c r="G53" s="5" t="n">
        <f aca="false">IF(ISNUMBER(F53),F53*B53,"")</f>
        <v>21090</v>
      </c>
      <c r="H53" s="8" t="s">
        <v>12</v>
      </c>
      <c r="I53" s="4" t="s">
        <v>24</v>
      </c>
    </row>
    <row r="54" customFormat="false" ht="23.85" hidden="false" customHeight="false" outlineLevel="0" collapsed="false">
      <c r="A54" s="4" t="s">
        <v>92</v>
      </c>
      <c r="B54" s="5" t="n">
        <v>1556</v>
      </c>
      <c r="C54" s="6" t="s">
        <v>93</v>
      </c>
      <c r="D54" s="6" t="s">
        <v>93</v>
      </c>
      <c r="E54" s="6"/>
      <c r="F54" s="7" t="s">
        <v>93</v>
      </c>
      <c r="G54" s="5" t="str">
        <f aca="false">IF(ISNUMBER(F54),F54*B54,"")</f>
        <v/>
      </c>
      <c r="H54" s="10" t="s">
        <v>93</v>
      </c>
      <c r="I54" s="4" t="s">
        <v>94</v>
      </c>
    </row>
    <row r="55" customFormat="false" ht="23.85" hidden="false" customHeight="false" outlineLevel="0" collapsed="false">
      <c r="A55" s="4" t="s">
        <v>95</v>
      </c>
      <c r="B55" s="5" t="n">
        <v>1040</v>
      </c>
      <c r="C55" s="6" t="s">
        <v>93</v>
      </c>
      <c r="D55" s="6" t="s">
        <v>93</v>
      </c>
      <c r="E55" s="6"/>
      <c r="F55" s="7" t="s">
        <v>93</v>
      </c>
      <c r="G55" s="5" t="str">
        <f aca="false">IF(ISNUMBER(F55),F55*B55,"")</f>
        <v/>
      </c>
      <c r="H55" s="10" t="s">
        <v>93</v>
      </c>
      <c r="I55" s="4" t="s">
        <v>94</v>
      </c>
    </row>
    <row r="56" customFormat="false" ht="23.85" hidden="false" customHeight="false" outlineLevel="0" collapsed="false">
      <c r="A56" s="4" t="s">
        <v>96</v>
      </c>
      <c r="B56" s="5" t="n">
        <v>727</v>
      </c>
      <c r="C56" s="6" t="s">
        <v>93</v>
      </c>
      <c r="D56" s="6" t="s">
        <v>93</v>
      </c>
      <c r="E56" s="6"/>
      <c r="F56" s="7" t="s">
        <v>93</v>
      </c>
      <c r="G56" s="5" t="str">
        <f aca="false">IF(ISNUMBER(F56),F56*B56,"")</f>
        <v/>
      </c>
      <c r="H56" s="10" t="s">
        <v>93</v>
      </c>
      <c r="I56" s="4" t="s">
        <v>94</v>
      </c>
    </row>
    <row r="57" customFormat="false" ht="23.85" hidden="false" customHeight="false" outlineLevel="0" collapsed="false">
      <c r="A57" s="4" t="s">
        <v>97</v>
      </c>
      <c r="B57" s="5" t="n">
        <v>779</v>
      </c>
      <c r="C57" s="6" t="n">
        <f aca="false">COUNTIFS('Base 2025'!$L$2:$L$561,$A57,'Base 2025'!$J$2:$J$561,"Sim",'Base 2025'!$H$2:$H$561,"Sim")</f>
        <v>0</v>
      </c>
      <c r="D57" s="6" t="n">
        <f aca="false">COUNTIFS('Base 2025'!$L$2:$L$561,$A57,'Base 2025'!$J$2:$J$561,"Sim",'Base 2025'!$I$2:$I$561,"Sim")</f>
        <v>0</v>
      </c>
      <c r="E57" s="6"/>
      <c r="F57" s="7" t="n">
        <f aca="false">C57</f>
        <v>0</v>
      </c>
      <c r="G57" s="5" t="n">
        <f aca="false">IF(ISNUMBER(F57),F57*B57,"")</f>
        <v>0</v>
      </c>
      <c r="H57" s="10" t="s">
        <v>18</v>
      </c>
      <c r="I57" s="4" t="s">
        <v>21</v>
      </c>
    </row>
    <row r="58" customFormat="false" ht="23.85" hidden="false" customHeight="false" outlineLevel="0" collapsed="false">
      <c r="A58" s="4" t="s">
        <v>98</v>
      </c>
      <c r="B58" s="5" t="n">
        <v>28000</v>
      </c>
      <c r="C58" s="6" t="s">
        <v>93</v>
      </c>
      <c r="D58" s="6" t="s">
        <v>93</v>
      </c>
      <c r="E58" s="6"/>
      <c r="F58" s="11" t="n">
        <v>12</v>
      </c>
      <c r="G58" s="5" t="n">
        <f aca="false">IF(ISNUMBER(F58),F58*B58,"")</f>
        <v>336000</v>
      </c>
      <c r="H58" s="12" t="s">
        <v>50</v>
      </c>
      <c r="I58" s="4" t="s">
        <v>99</v>
      </c>
    </row>
    <row r="59" customFormat="false" ht="23.85" hidden="false" customHeight="false" outlineLevel="0" collapsed="false">
      <c r="A59" s="13" t="s">
        <v>100</v>
      </c>
      <c r="B59" s="14"/>
      <c r="C59" s="15"/>
      <c r="D59" s="15"/>
      <c r="E59" s="15"/>
      <c r="F59" s="15"/>
      <c r="G59" s="14" t="n">
        <f aca="false">SUM(G5:G57)</f>
        <v>4415710</v>
      </c>
      <c r="H59" s="15"/>
      <c r="I59" s="13"/>
    </row>
    <row r="61" customFormat="false" ht="15" hidden="false" customHeight="false" outlineLevel="0" collapsed="false">
      <c r="A61" s="16" t="s">
        <v>101</v>
      </c>
    </row>
    <row r="62" customFormat="false" ht="15" hidden="false" customHeight="false" outlineLevel="0" collapsed="false">
      <c r="A62" s="17" t="s">
        <v>102</v>
      </c>
      <c r="B62" s="17"/>
      <c r="C62" s="17"/>
      <c r="D62" s="17"/>
      <c r="E62" s="17"/>
      <c r="F62" s="17"/>
      <c r="G62" s="17"/>
      <c r="H62" s="17"/>
      <c r="I62" s="17"/>
    </row>
    <row r="63" customFormat="false" ht="15" hidden="false" customHeight="false" outlineLevel="0" collapsed="false">
      <c r="A63" s="17" t="s">
        <v>103</v>
      </c>
      <c r="B63" s="17"/>
      <c r="C63" s="17"/>
      <c r="D63" s="17"/>
      <c r="E63" s="17"/>
      <c r="F63" s="17"/>
      <c r="G63" s="17"/>
      <c r="H63" s="17"/>
      <c r="I63" s="17"/>
    </row>
    <row r="64" customFormat="false" ht="15" hidden="false" customHeight="false" outlineLevel="0" collapsed="false">
      <c r="A64" s="17" t="s">
        <v>104</v>
      </c>
      <c r="B64" s="17"/>
      <c r="C64" s="17"/>
      <c r="D64" s="17"/>
      <c r="E64" s="17"/>
      <c r="F64" s="17"/>
      <c r="G64" s="17"/>
      <c r="H64" s="17"/>
      <c r="I64" s="17"/>
    </row>
    <row r="65" customFormat="false" ht="15" hidden="false" customHeight="false" outlineLevel="0" collapsed="false">
      <c r="A65" s="17" t="s">
        <v>105</v>
      </c>
      <c r="B65" s="17"/>
      <c r="C65" s="17"/>
      <c r="D65" s="17"/>
      <c r="E65" s="17"/>
      <c r="F65" s="17"/>
      <c r="G65" s="17"/>
      <c r="H65" s="17"/>
      <c r="I65" s="17"/>
    </row>
  </sheetData>
  <mergeCells count="5">
    <mergeCell ref="A2:I2"/>
    <mergeCell ref="A62:I62"/>
    <mergeCell ref="A63:I63"/>
    <mergeCell ref="A64:I64"/>
    <mergeCell ref="A65:I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60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48"/>
    <col collapsed="false" customWidth="true" hidden="false" outlineLevel="0" max="13" min="13" style="0" width="14"/>
    <col collapsed="false" customWidth="true" hidden="false" outlineLevel="0" max="14" min="14" style="0" width="40"/>
  </cols>
  <sheetData>
    <row r="1" customFormat="false" ht="31.5" hidden="false" customHeight="true" outlineLevel="0" collapsed="false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  <c r="I1" s="3" t="s">
        <v>114</v>
      </c>
      <c r="J1" s="3" t="s">
        <v>115</v>
      </c>
      <c r="K1" s="3" t="s">
        <v>116</v>
      </c>
      <c r="L1" s="3" t="s">
        <v>117</v>
      </c>
      <c r="M1" s="3" t="s">
        <v>118</v>
      </c>
      <c r="N1" s="3" t="s">
        <v>119</v>
      </c>
    </row>
    <row r="2" customFormat="false" ht="15" hidden="false" customHeight="false" outlineLevel="0" collapsed="false">
      <c r="A2" s="18" t="s">
        <v>120</v>
      </c>
      <c r="B2" s="18" t="s">
        <v>121</v>
      </c>
      <c r="C2" s="18" t="s">
        <v>122</v>
      </c>
      <c r="D2" s="18" t="s">
        <v>123</v>
      </c>
      <c r="E2" s="18" t="s">
        <v>124</v>
      </c>
      <c r="F2" s="19" t="n">
        <v>45561</v>
      </c>
      <c r="G2" s="18" t="s">
        <v>125</v>
      </c>
      <c r="H2" s="18" t="s">
        <v>126</v>
      </c>
      <c r="I2" s="18" t="s">
        <v>126</v>
      </c>
      <c r="J2" s="18" t="s">
        <v>126</v>
      </c>
      <c r="K2" s="18"/>
      <c r="L2" s="18" t="s">
        <v>28</v>
      </c>
      <c r="M2" s="20" t="s">
        <v>12</v>
      </c>
      <c r="N2" s="18" t="s">
        <v>127</v>
      </c>
    </row>
    <row r="3" customFormat="false" ht="15" hidden="false" customHeight="false" outlineLevel="0" collapsed="false">
      <c r="A3" s="18" t="s">
        <v>120</v>
      </c>
      <c r="B3" s="18" t="s">
        <v>128</v>
      </c>
      <c r="C3" s="18" t="s">
        <v>122</v>
      </c>
      <c r="D3" s="18" t="s">
        <v>129</v>
      </c>
      <c r="E3" s="18" t="s">
        <v>130</v>
      </c>
      <c r="F3" s="19" t="n">
        <v>45562</v>
      </c>
      <c r="G3" s="18" t="s">
        <v>125</v>
      </c>
      <c r="H3" s="18" t="s">
        <v>126</v>
      </c>
      <c r="I3" s="18" t="s">
        <v>126</v>
      </c>
      <c r="J3" s="18" t="s">
        <v>126</v>
      </c>
      <c r="K3" s="18"/>
      <c r="L3" s="18" t="s">
        <v>44</v>
      </c>
      <c r="M3" s="20" t="s">
        <v>12</v>
      </c>
      <c r="N3" s="18" t="s">
        <v>131</v>
      </c>
    </row>
    <row r="4" customFormat="false" ht="15" hidden="false" customHeight="false" outlineLevel="0" collapsed="false">
      <c r="A4" s="18" t="s">
        <v>120</v>
      </c>
      <c r="B4" s="18" t="s">
        <v>132</v>
      </c>
      <c r="C4" s="18" t="s">
        <v>122</v>
      </c>
      <c r="D4" s="18" t="s">
        <v>133</v>
      </c>
      <c r="E4" s="18" t="s">
        <v>134</v>
      </c>
      <c r="F4" s="19" t="n">
        <v>45593</v>
      </c>
      <c r="G4" s="18" t="s">
        <v>125</v>
      </c>
      <c r="H4" s="18" t="s">
        <v>126</v>
      </c>
      <c r="I4" s="18" t="s">
        <v>126</v>
      </c>
      <c r="J4" s="18" t="s">
        <v>126</v>
      </c>
      <c r="K4" s="18"/>
      <c r="L4" s="18" t="s">
        <v>26</v>
      </c>
      <c r="M4" s="20" t="s">
        <v>12</v>
      </c>
      <c r="N4" s="18" t="s">
        <v>135</v>
      </c>
    </row>
    <row r="5" customFormat="false" ht="15" hidden="false" customHeight="false" outlineLevel="0" collapsed="false">
      <c r="A5" s="18" t="s">
        <v>120</v>
      </c>
      <c r="B5" s="18" t="s">
        <v>136</v>
      </c>
      <c r="C5" s="18" t="s">
        <v>122</v>
      </c>
      <c r="D5" s="18" t="s">
        <v>133</v>
      </c>
      <c r="E5" s="18" t="s">
        <v>137</v>
      </c>
      <c r="F5" s="19" t="n">
        <v>45593</v>
      </c>
      <c r="G5" s="18" t="s">
        <v>125</v>
      </c>
      <c r="H5" s="18" t="s">
        <v>126</v>
      </c>
      <c r="I5" s="18" t="s">
        <v>126</v>
      </c>
      <c r="J5" s="18" t="s">
        <v>126</v>
      </c>
      <c r="K5" s="18"/>
      <c r="L5" s="18" t="s">
        <v>54</v>
      </c>
      <c r="M5" s="21" t="s">
        <v>15</v>
      </c>
      <c r="N5" s="18" t="s">
        <v>138</v>
      </c>
    </row>
    <row r="6" customFormat="false" ht="15" hidden="false" customHeight="false" outlineLevel="0" collapsed="false">
      <c r="A6" s="18" t="s">
        <v>120</v>
      </c>
      <c r="B6" s="18" t="s">
        <v>139</v>
      </c>
      <c r="C6" s="18" t="s">
        <v>122</v>
      </c>
      <c r="D6" s="18" t="s">
        <v>133</v>
      </c>
      <c r="E6" s="18" t="s">
        <v>140</v>
      </c>
      <c r="F6" s="19" t="n">
        <v>45593</v>
      </c>
      <c r="G6" s="18" t="s">
        <v>125</v>
      </c>
      <c r="H6" s="18" t="s">
        <v>126</v>
      </c>
      <c r="I6" s="18" t="s">
        <v>126</v>
      </c>
      <c r="J6" s="18" t="s">
        <v>126</v>
      </c>
      <c r="K6" s="18"/>
      <c r="L6" s="18" t="s">
        <v>59</v>
      </c>
      <c r="M6" s="22" t="s">
        <v>50</v>
      </c>
      <c r="N6" s="18" t="s">
        <v>141</v>
      </c>
    </row>
    <row r="7" customFormat="false" ht="15" hidden="false" customHeight="false" outlineLevel="0" collapsed="false">
      <c r="A7" s="18" t="s">
        <v>120</v>
      </c>
      <c r="B7" s="18" t="s">
        <v>142</v>
      </c>
      <c r="C7" s="18" t="s">
        <v>122</v>
      </c>
      <c r="D7" s="18" t="s">
        <v>133</v>
      </c>
      <c r="E7" s="18" t="s">
        <v>143</v>
      </c>
      <c r="F7" s="19" t="n">
        <v>45593</v>
      </c>
      <c r="G7" s="18" t="s">
        <v>125</v>
      </c>
      <c r="H7" s="18" t="s">
        <v>126</v>
      </c>
      <c r="I7" s="18" t="s">
        <v>126</v>
      </c>
      <c r="J7" s="18" t="s">
        <v>126</v>
      </c>
      <c r="K7" s="18"/>
      <c r="L7" s="18" t="s">
        <v>83</v>
      </c>
      <c r="M7" s="20" t="s">
        <v>12</v>
      </c>
      <c r="N7" s="18" t="s">
        <v>144</v>
      </c>
    </row>
    <row r="8" customFormat="false" ht="15" hidden="false" customHeight="false" outlineLevel="0" collapsed="false">
      <c r="A8" s="18" t="s">
        <v>120</v>
      </c>
      <c r="B8" s="18" t="s">
        <v>145</v>
      </c>
      <c r="C8" s="18" t="s">
        <v>122</v>
      </c>
      <c r="D8" s="18" t="s">
        <v>133</v>
      </c>
      <c r="E8" s="18" t="s">
        <v>146</v>
      </c>
      <c r="F8" s="19" t="n">
        <v>45594.7083333333</v>
      </c>
      <c r="G8" s="18" t="s">
        <v>125</v>
      </c>
      <c r="H8" s="18" t="s">
        <v>126</v>
      </c>
      <c r="I8" s="18" t="s">
        <v>126</v>
      </c>
      <c r="J8" s="18" t="s">
        <v>126</v>
      </c>
      <c r="K8" s="18"/>
      <c r="L8" s="18" t="s">
        <v>11</v>
      </c>
      <c r="M8" s="20" t="s">
        <v>12</v>
      </c>
      <c r="N8" s="18" t="s">
        <v>147</v>
      </c>
    </row>
    <row r="9" customFormat="false" ht="15" hidden="false" customHeight="false" outlineLevel="0" collapsed="false">
      <c r="A9" s="18" t="s">
        <v>120</v>
      </c>
      <c r="B9" s="18" t="s">
        <v>148</v>
      </c>
      <c r="C9" s="18" t="s">
        <v>122</v>
      </c>
      <c r="D9" s="18" t="s">
        <v>133</v>
      </c>
      <c r="E9" s="18" t="s">
        <v>149</v>
      </c>
      <c r="F9" s="19" t="n">
        <v>45595</v>
      </c>
      <c r="G9" s="18" t="s">
        <v>125</v>
      </c>
      <c r="H9" s="18" t="s">
        <v>126</v>
      </c>
      <c r="I9" s="18" t="s">
        <v>126</v>
      </c>
      <c r="J9" s="18" t="s">
        <v>126</v>
      </c>
      <c r="K9" s="18"/>
      <c r="L9" s="18" t="s">
        <v>72</v>
      </c>
      <c r="M9" s="20" t="s">
        <v>12</v>
      </c>
      <c r="N9" s="18" t="s">
        <v>150</v>
      </c>
    </row>
    <row r="10" customFormat="false" ht="15" hidden="false" customHeight="false" outlineLevel="0" collapsed="false">
      <c r="A10" s="18" t="s">
        <v>120</v>
      </c>
      <c r="B10" s="18" t="s">
        <v>151</v>
      </c>
      <c r="C10" s="18" t="s">
        <v>122</v>
      </c>
      <c r="D10" s="18" t="s">
        <v>133</v>
      </c>
      <c r="E10" s="18" t="s">
        <v>152</v>
      </c>
      <c r="F10" s="19" t="n">
        <v>45595</v>
      </c>
      <c r="G10" s="18" t="s">
        <v>125</v>
      </c>
      <c r="H10" s="18" t="s">
        <v>126</v>
      </c>
      <c r="I10" s="18" t="s">
        <v>126</v>
      </c>
      <c r="J10" s="18" t="s">
        <v>126</v>
      </c>
      <c r="K10" s="18"/>
      <c r="L10" s="18" t="s">
        <v>64</v>
      </c>
      <c r="M10" s="20" t="s">
        <v>12</v>
      </c>
      <c r="N10" s="18" t="s">
        <v>153</v>
      </c>
    </row>
    <row r="11" customFormat="false" ht="15" hidden="false" customHeight="false" outlineLevel="0" collapsed="false">
      <c r="A11" s="18" t="s">
        <v>120</v>
      </c>
      <c r="B11" s="18" t="s">
        <v>154</v>
      </c>
      <c r="C11" s="18" t="s">
        <v>122</v>
      </c>
      <c r="D11" s="18" t="s">
        <v>133</v>
      </c>
      <c r="E11" s="18" t="s">
        <v>155</v>
      </c>
      <c r="F11" s="19" t="n">
        <v>45607</v>
      </c>
      <c r="G11" s="18" t="s">
        <v>125</v>
      </c>
      <c r="H11" s="18" t="s">
        <v>126</v>
      </c>
      <c r="I11" s="18" t="s">
        <v>126</v>
      </c>
      <c r="J11" s="18" t="s">
        <v>126</v>
      </c>
      <c r="K11" s="18"/>
      <c r="L11" s="18" t="s">
        <v>70</v>
      </c>
      <c r="M11" s="20" t="s">
        <v>12</v>
      </c>
      <c r="N11" s="18" t="s">
        <v>156</v>
      </c>
    </row>
    <row r="12" customFormat="false" ht="15" hidden="false" customHeight="false" outlineLevel="0" collapsed="false">
      <c r="A12" s="18" t="s">
        <v>120</v>
      </c>
      <c r="B12" s="18" t="s">
        <v>157</v>
      </c>
      <c r="C12" s="18" t="s">
        <v>122</v>
      </c>
      <c r="D12" s="18" t="s">
        <v>133</v>
      </c>
      <c r="E12" s="18" t="s">
        <v>158</v>
      </c>
      <c r="F12" s="19" t="n">
        <v>45609</v>
      </c>
      <c r="G12" s="18" t="s">
        <v>125</v>
      </c>
      <c r="H12" s="18" t="s">
        <v>126</v>
      </c>
      <c r="I12" s="18" t="s">
        <v>126</v>
      </c>
      <c r="J12" s="18" t="s">
        <v>126</v>
      </c>
      <c r="K12" s="18"/>
      <c r="L12" s="18" t="s">
        <v>11</v>
      </c>
      <c r="M12" s="20" t="s">
        <v>12</v>
      </c>
      <c r="N12" s="18" t="s">
        <v>159</v>
      </c>
    </row>
    <row r="13" customFormat="false" ht="15" hidden="false" customHeight="false" outlineLevel="0" collapsed="false">
      <c r="A13" s="18" t="s">
        <v>120</v>
      </c>
      <c r="B13" s="18" t="s">
        <v>160</v>
      </c>
      <c r="C13" s="18" t="s">
        <v>122</v>
      </c>
      <c r="D13" s="18" t="s">
        <v>133</v>
      </c>
      <c r="E13" s="18" t="s">
        <v>161</v>
      </c>
      <c r="F13" s="19" t="n">
        <v>45610</v>
      </c>
      <c r="G13" s="18" t="s">
        <v>125</v>
      </c>
      <c r="H13" s="18" t="s">
        <v>126</v>
      </c>
      <c r="I13" s="18" t="s">
        <v>126</v>
      </c>
      <c r="J13" s="18" t="s">
        <v>126</v>
      </c>
      <c r="K13" s="18"/>
      <c r="L13" s="18" t="s">
        <v>76</v>
      </c>
      <c r="M13" s="21" t="s">
        <v>15</v>
      </c>
      <c r="N13" s="18" t="s">
        <v>162</v>
      </c>
    </row>
    <row r="14" customFormat="false" ht="15" hidden="false" customHeight="false" outlineLevel="0" collapsed="false">
      <c r="A14" s="18" t="s">
        <v>120</v>
      </c>
      <c r="B14" s="18" t="s">
        <v>163</v>
      </c>
      <c r="C14" s="18" t="s">
        <v>122</v>
      </c>
      <c r="D14" s="18" t="s">
        <v>133</v>
      </c>
      <c r="E14" s="18" t="s">
        <v>164</v>
      </c>
      <c r="F14" s="19" t="n">
        <v>45616</v>
      </c>
      <c r="G14" s="18" t="s">
        <v>125</v>
      </c>
      <c r="H14" s="18" t="s">
        <v>126</v>
      </c>
      <c r="I14" s="18" t="s">
        <v>126</v>
      </c>
      <c r="J14" s="18" t="s">
        <v>165</v>
      </c>
      <c r="K14" s="18" t="s">
        <v>166</v>
      </c>
      <c r="L14" s="18" t="s">
        <v>167</v>
      </c>
      <c r="M14" s="18"/>
      <c r="N14" s="18" t="s">
        <v>168</v>
      </c>
    </row>
    <row r="15" customFormat="false" ht="15" hidden="false" customHeight="false" outlineLevel="0" collapsed="false">
      <c r="A15" s="18" t="s">
        <v>120</v>
      </c>
      <c r="B15" s="18" t="s">
        <v>169</v>
      </c>
      <c r="C15" s="18" t="s">
        <v>122</v>
      </c>
      <c r="D15" s="18" t="s">
        <v>133</v>
      </c>
      <c r="E15" s="18" t="s">
        <v>170</v>
      </c>
      <c r="F15" s="19" t="n">
        <v>45617</v>
      </c>
      <c r="G15" s="18" t="s">
        <v>125</v>
      </c>
      <c r="H15" s="18" t="s">
        <v>126</v>
      </c>
      <c r="I15" s="18" t="s">
        <v>126</v>
      </c>
      <c r="J15" s="18" t="s">
        <v>126</v>
      </c>
      <c r="K15" s="18"/>
      <c r="L15" s="18" t="s">
        <v>171</v>
      </c>
      <c r="M15" s="18"/>
      <c r="N15" s="18" t="s">
        <v>172</v>
      </c>
    </row>
    <row r="16" customFormat="false" ht="15" hidden="false" customHeight="false" outlineLevel="0" collapsed="false">
      <c r="A16" s="18" t="s">
        <v>120</v>
      </c>
      <c r="B16" s="18" t="s">
        <v>173</v>
      </c>
      <c r="C16" s="18" t="s">
        <v>122</v>
      </c>
      <c r="D16" s="18" t="s">
        <v>129</v>
      </c>
      <c r="E16" s="18" t="s">
        <v>174</v>
      </c>
      <c r="F16" s="19" t="n">
        <v>45617</v>
      </c>
      <c r="G16" s="18" t="s">
        <v>125</v>
      </c>
      <c r="H16" s="18" t="s">
        <v>126</v>
      </c>
      <c r="I16" s="18" t="s">
        <v>126</v>
      </c>
      <c r="J16" s="18" t="s">
        <v>126</v>
      </c>
      <c r="K16" s="18"/>
      <c r="L16" s="18" t="s">
        <v>42</v>
      </c>
      <c r="M16" s="21" t="s">
        <v>15</v>
      </c>
      <c r="N16" s="18" t="s">
        <v>175</v>
      </c>
    </row>
    <row r="17" customFormat="false" ht="15" hidden="false" customHeight="false" outlineLevel="0" collapsed="false">
      <c r="A17" s="18" t="s">
        <v>120</v>
      </c>
      <c r="B17" s="18" t="s">
        <v>176</v>
      </c>
      <c r="C17" s="18" t="s">
        <v>122</v>
      </c>
      <c r="D17" s="18" t="s">
        <v>133</v>
      </c>
      <c r="E17" s="18" t="s">
        <v>177</v>
      </c>
      <c r="F17" s="19" t="n">
        <v>45618</v>
      </c>
      <c r="G17" s="18" t="s">
        <v>125</v>
      </c>
      <c r="H17" s="18" t="s">
        <v>126</v>
      </c>
      <c r="I17" s="18" t="s">
        <v>126</v>
      </c>
      <c r="J17" s="18" t="s">
        <v>126</v>
      </c>
      <c r="K17" s="18"/>
      <c r="L17" s="18" t="s">
        <v>52</v>
      </c>
      <c r="M17" s="22" t="s">
        <v>50</v>
      </c>
      <c r="N17" s="18" t="s">
        <v>178</v>
      </c>
    </row>
    <row r="18" customFormat="false" ht="15" hidden="false" customHeight="false" outlineLevel="0" collapsed="false">
      <c r="A18" s="18" t="s">
        <v>120</v>
      </c>
      <c r="B18" s="18" t="s">
        <v>179</v>
      </c>
      <c r="C18" s="18" t="s">
        <v>122</v>
      </c>
      <c r="D18" s="18" t="s">
        <v>133</v>
      </c>
      <c r="E18" s="18" t="s">
        <v>180</v>
      </c>
      <c r="F18" s="19" t="n">
        <v>45618</v>
      </c>
      <c r="G18" s="18" t="s">
        <v>125</v>
      </c>
      <c r="H18" s="18" t="s">
        <v>126</v>
      </c>
      <c r="I18" s="18" t="s">
        <v>126</v>
      </c>
      <c r="J18" s="18" t="s">
        <v>126</v>
      </c>
      <c r="K18" s="18"/>
      <c r="L18" s="18" t="s">
        <v>11</v>
      </c>
      <c r="M18" s="20" t="s">
        <v>12</v>
      </c>
      <c r="N18" s="18" t="s">
        <v>181</v>
      </c>
    </row>
    <row r="19" customFormat="false" ht="15" hidden="false" customHeight="false" outlineLevel="0" collapsed="false">
      <c r="A19" s="18" t="s">
        <v>120</v>
      </c>
      <c r="B19" s="18" t="s">
        <v>182</v>
      </c>
      <c r="C19" s="18" t="s">
        <v>122</v>
      </c>
      <c r="D19" s="18" t="s">
        <v>133</v>
      </c>
      <c r="E19" s="18" t="s">
        <v>183</v>
      </c>
      <c r="F19" s="19" t="n">
        <v>45631</v>
      </c>
      <c r="G19" s="18" t="s">
        <v>125</v>
      </c>
      <c r="H19" s="18" t="s">
        <v>126</v>
      </c>
      <c r="I19" s="18" t="s">
        <v>126</v>
      </c>
      <c r="J19" s="18" t="s">
        <v>126</v>
      </c>
      <c r="K19" s="18"/>
      <c r="L19" s="18" t="s">
        <v>171</v>
      </c>
      <c r="M19" s="18"/>
      <c r="N19" s="18" t="s">
        <v>172</v>
      </c>
    </row>
    <row r="20" customFormat="false" ht="15" hidden="false" customHeight="false" outlineLevel="0" collapsed="false">
      <c r="A20" s="18" t="s">
        <v>120</v>
      </c>
      <c r="B20" s="18" t="s">
        <v>184</v>
      </c>
      <c r="C20" s="18" t="s">
        <v>122</v>
      </c>
      <c r="D20" s="18" t="s">
        <v>133</v>
      </c>
      <c r="E20" s="18" t="s">
        <v>185</v>
      </c>
      <c r="F20" s="19" t="n">
        <v>45631</v>
      </c>
      <c r="G20" s="18" t="s">
        <v>125</v>
      </c>
      <c r="H20" s="18" t="s">
        <v>126</v>
      </c>
      <c r="I20" s="18" t="s">
        <v>126</v>
      </c>
      <c r="J20" s="18" t="s">
        <v>126</v>
      </c>
      <c r="K20" s="18"/>
      <c r="L20" s="18" t="s">
        <v>171</v>
      </c>
      <c r="M20" s="18"/>
      <c r="N20" s="18" t="s">
        <v>172</v>
      </c>
    </row>
    <row r="21" customFormat="false" ht="15" hidden="false" customHeight="false" outlineLevel="0" collapsed="false">
      <c r="A21" s="18" t="s">
        <v>120</v>
      </c>
      <c r="B21" s="18" t="s">
        <v>186</v>
      </c>
      <c r="C21" s="18" t="s">
        <v>122</v>
      </c>
      <c r="D21" s="18" t="s">
        <v>187</v>
      </c>
      <c r="E21" s="18" t="s">
        <v>188</v>
      </c>
      <c r="F21" s="19" t="n">
        <v>45632</v>
      </c>
      <c r="G21" s="18" t="s">
        <v>125</v>
      </c>
      <c r="H21" s="18" t="s">
        <v>126</v>
      </c>
      <c r="I21" s="18" t="s">
        <v>126</v>
      </c>
      <c r="J21" s="18" t="s">
        <v>126</v>
      </c>
      <c r="K21" s="18"/>
      <c r="L21" s="18" t="s">
        <v>83</v>
      </c>
      <c r="M21" s="20" t="s">
        <v>12</v>
      </c>
      <c r="N21" s="18" t="s">
        <v>144</v>
      </c>
    </row>
    <row r="22" customFormat="false" ht="15" hidden="false" customHeight="false" outlineLevel="0" collapsed="false">
      <c r="A22" s="18" t="s">
        <v>120</v>
      </c>
      <c r="B22" s="18" t="s">
        <v>189</v>
      </c>
      <c r="C22" s="18" t="s">
        <v>122</v>
      </c>
      <c r="D22" s="18" t="s">
        <v>133</v>
      </c>
      <c r="E22" s="18" t="s">
        <v>190</v>
      </c>
      <c r="F22" s="19" t="n">
        <v>45637</v>
      </c>
      <c r="G22" s="18" t="s">
        <v>125</v>
      </c>
      <c r="H22" s="18" t="s">
        <v>126</v>
      </c>
      <c r="I22" s="18" t="s">
        <v>126</v>
      </c>
      <c r="J22" s="18" t="s">
        <v>126</v>
      </c>
      <c r="K22" s="18"/>
      <c r="L22" s="18" t="s">
        <v>52</v>
      </c>
      <c r="M22" s="22" t="s">
        <v>50</v>
      </c>
      <c r="N22" s="18" t="s">
        <v>178</v>
      </c>
    </row>
    <row r="23" customFormat="false" ht="15" hidden="false" customHeight="false" outlineLevel="0" collapsed="false">
      <c r="A23" s="18" t="s">
        <v>120</v>
      </c>
      <c r="B23" s="18" t="s">
        <v>191</v>
      </c>
      <c r="C23" s="18" t="s">
        <v>122</v>
      </c>
      <c r="D23" s="18" t="s">
        <v>133</v>
      </c>
      <c r="E23" s="18" t="s">
        <v>192</v>
      </c>
      <c r="F23" s="19" t="n">
        <v>45653</v>
      </c>
      <c r="G23" s="18" t="s">
        <v>125</v>
      </c>
      <c r="H23" s="18" t="s">
        <v>126</v>
      </c>
      <c r="I23" s="18" t="s">
        <v>126</v>
      </c>
      <c r="J23" s="18" t="s">
        <v>126</v>
      </c>
      <c r="K23" s="18"/>
      <c r="L23" s="18" t="s">
        <v>171</v>
      </c>
      <c r="M23" s="18"/>
      <c r="N23" s="18" t="s">
        <v>172</v>
      </c>
    </row>
    <row r="24" customFormat="false" ht="15" hidden="false" customHeight="false" outlineLevel="0" collapsed="false">
      <c r="A24" s="18" t="s">
        <v>120</v>
      </c>
      <c r="B24" s="18" t="s">
        <v>193</v>
      </c>
      <c r="C24" s="18" t="s">
        <v>194</v>
      </c>
      <c r="D24" s="18"/>
      <c r="E24" s="18" t="s">
        <v>195</v>
      </c>
      <c r="F24" s="19" t="n">
        <v>45660</v>
      </c>
      <c r="G24" s="18" t="s">
        <v>196</v>
      </c>
      <c r="H24" s="18" t="s">
        <v>165</v>
      </c>
      <c r="I24" s="18" t="s">
        <v>165</v>
      </c>
      <c r="J24" s="18" t="s">
        <v>126</v>
      </c>
      <c r="K24" s="18"/>
      <c r="L24" s="18" t="s">
        <v>89</v>
      </c>
      <c r="M24" s="20" t="s">
        <v>12</v>
      </c>
      <c r="N24" s="18" t="s">
        <v>197</v>
      </c>
    </row>
    <row r="25" customFormat="false" ht="15" hidden="false" customHeight="false" outlineLevel="0" collapsed="false">
      <c r="A25" s="18" t="s">
        <v>120</v>
      </c>
      <c r="B25" s="18" t="s">
        <v>198</v>
      </c>
      <c r="C25" s="18" t="s">
        <v>194</v>
      </c>
      <c r="D25" s="18"/>
      <c r="E25" s="18" t="s">
        <v>199</v>
      </c>
      <c r="F25" s="19" t="n">
        <v>45663</v>
      </c>
      <c r="G25" s="18" t="s">
        <v>196</v>
      </c>
      <c r="H25" s="18" t="s">
        <v>165</v>
      </c>
      <c r="I25" s="18" t="s">
        <v>165</v>
      </c>
      <c r="J25" s="18" t="s">
        <v>126</v>
      </c>
      <c r="K25" s="18"/>
      <c r="L25" s="18" t="s">
        <v>171</v>
      </c>
      <c r="M25" s="18"/>
      <c r="N25" s="18" t="s">
        <v>172</v>
      </c>
    </row>
    <row r="26" customFormat="false" ht="15" hidden="false" customHeight="false" outlineLevel="0" collapsed="false">
      <c r="A26" s="18" t="s">
        <v>120</v>
      </c>
      <c r="B26" s="18" t="s">
        <v>200</v>
      </c>
      <c r="C26" s="18" t="s">
        <v>122</v>
      </c>
      <c r="D26" s="18" t="s">
        <v>201</v>
      </c>
      <c r="E26" s="18" t="s">
        <v>202</v>
      </c>
      <c r="F26" s="19" t="n">
        <v>45665</v>
      </c>
      <c r="G26" s="18" t="s">
        <v>203</v>
      </c>
      <c r="H26" s="18" t="s">
        <v>165</v>
      </c>
      <c r="I26" s="18" t="s">
        <v>126</v>
      </c>
      <c r="J26" s="18" t="s">
        <v>126</v>
      </c>
      <c r="K26" s="18"/>
      <c r="L26" s="18" t="s">
        <v>204</v>
      </c>
      <c r="M26" s="18"/>
      <c r="N26" s="18" t="s">
        <v>205</v>
      </c>
    </row>
    <row r="27" customFormat="false" ht="15" hidden="false" customHeight="false" outlineLevel="0" collapsed="false">
      <c r="A27" s="18" t="s">
        <v>120</v>
      </c>
      <c r="B27" s="18" t="s">
        <v>206</v>
      </c>
      <c r="C27" s="18" t="s">
        <v>194</v>
      </c>
      <c r="D27" s="18"/>
      <c r="E27" s="18" t="s">
        <v>207</v>
      </c>
      <c r="F27" s="19" t="n">
        <v>45666</v>
      </c>
      <c r="G27" s="18" t="s">
        <v>208</v>
      </c>
      <c r="H27" s="18" t="s">
        <v>126</v>
      </c>
      <c r="I27" s="18" t="s">
        <v>126</v>
      </c>
      <c r="J27" s="18" t="s">
        <v>165</v>
      </c>
      <c r="K27" s="18" t="s">
        <v>209</v>
      </c>
      <c r="L27" s="18" t="s">
        <v>210</v>
      </c>
      <c r="M27" s="18"/>
      <c r="N27" s="18" t="s">
        <v>211</v>
      </c>
    </row>
    <row r="28" customFormat="false" ht="15" hidden="false" customHeight="false" outlineLevel="0" collapsed="false">
      <c r="A28" s="18" t="s">
        <v>120</v>
      </c>
      <c r="B28" s="18" t="s">
        <v>212</v>
      </c>
      <c r="C28" s="18" t="s">
        <v>122</v>
      </c>
      <c r="D28" s="18" t="s">
        <v>207</v>
      </c>
      <c r="E28" s="18" t="s">
        <v>213</v>
      </c>
      <c r="F28" s="19" t="n">
        <v>45666</v>
      </c>
      <c r="G28" s="18" t="s">
        <v>125</v>
      </c>
      <c r="H28" s="18" t="s">
        <v>126</v>
      </c>
      <c r="I28" s="18" t="s">
        <v>126</v>
      </c>
      <c r="J28" s="18" t="s">
        <v>126</v>
      </c>
      <c r="K28" s="18"/>
      <c r="L28" s="18" t="s">
        <v>11</v>
      </c>
      <c r="M28" s="20" t="s">
        <v>12</v>
      </c>
      <c r="N28" s="18" t="s">
        <v>181</v>
      </c>
    </row>
    <row r="29" customFormat="false" ht="15" hidden="false" customHeight="false" outlineLevel="0" collapsed="false">
      <c r="A29" s="18" t="s">
        <v>120</v>
      </c>
      <c r="B29" s="18" t="s">
        <v>214</v>
      </c>
      <c r="C29" s="18" t="s">
        <v>122</v>
      </c>
      <c r="D29" s="18" t="s">
        <v>207</v>
      </c>
      <c r="E29" s="18" t="s">
        <v>215</v>
      </c>
      <c r="F29" s="19" t="n">
        <v>45666</v>
      </c>
      <c r="G29" s="18" t="s">
        <v>196</v>
      </c>
      <c r="H29" s="18" t="s">
        <v>165</v>
      </c>
      <c r="I29" s="18" t="s">
        <v>165</v>
      </c>
      <c r="J29" s="18" t="s">
        <v>126</v>
      </c>
      <c r="K29" s="18"/>
      <c r="L29" s="18" t="s">
        <v>11</v>
      </c>
      <c r="M29" s="20" t="s">
        <v>12</v>
      </c>
      <c r="N29" s="18" t="s">
        <v>147</v>
      </c>
    </row>
    <row r="30" customFormat="false" ht="15" hidden="false" customHeight="false" outlineLevel="0" collapsed="false">
      <c r="A30" s="18" t="s">
        <v>120</v>
      </c>
      <c r="B30" s="18" t="s">
        <v>216</v>
      </c>
      <c r="C30" s="18" t="s">
        <v>122</v>
      </c>
      <c r="D30" s="18" t="s">
        <v>207</v>
      </c>
      <c r="E30" s="18" t="s">
        <v>146</v>
      </c>
      <c r="F30" s="19" t="n">
        <v>45666</v>
      </c>
      <c r="G30" s="18" t="s">
        <v>125</v>
      </c>
      <c r="H30" s="18" t="s">
        <v>126</v>
      </c>
      <c r="I30" s="18" t="s">
        <v>126</v>
      </c>
      <c r="J30" s="18" t="s">
        <v>126</v>
      </c>
      <c r="K30" s="18"/>
      <c r="L30" s="18" t="s">
        <v>11</v>
      </c>
      <c r="M30" s="20" t="s">
        <v>12</v>
      </c>
      <c r="N30" s="18" t="s">
        <v>147</v>
      </c>
    </row>
    <row r="31" customFormat="false" ht="15" hidden="false" customHeight="false" outlineLevel="0" collapsed="false">
      <c r="A31" s="18" t="s">
        <v>120</v>
      </c>
      <c r="B31" s="18" t="s">
        <v>217</v>
      </c>
      <c r="C31" s="18" t="s">
        <v>122</v>
      </c>
      <c r="D31" s="18" t="s">
        <v>218</v>
      </c>
      <c r="E31" s="18" t="s">
        <v>219</v>
      </c>
      <c r="F31" s="19" t="n">
        <v>45666</v>
      </c>
      <c r="G31" s="18" t="s">
        <v>125</v>
      </c>
      <c r="H31" s="18" t="s">
        <v>126</v>
      </c>
      <c r="I31" s="18" t="s">
        <v>126</v>
      </c>
      <c r="J31" s="18" t="s">
        <v>126</v>
      </c>
      <c r="K31" s="18"/>
      <c r="L31" s="18" t="s">
        <v>204</v>
      </c>
      <c r="M31" s="18"/>
      <c r="N31" s="18" t="s">
        <v>220</v>
      </c>
    </row>
    <row r="32" customFormat="false" ht="15" hidden="false" customHeight="false" outlineLevel="0" collapsed="false">
      <c r="A32" s="18" t="s">
        <v>120</v>
      </c>
      <c r="B32" s="18" t="s">
        <v>221</v>
      </c>
      <c r="C32" s="18" t="s">
        <v>194</v>
      </c>
      <c r="D32" s="18"/>
      <c r="E32" s="18" t="s">
        <v>201</v>
      </c>
      <c r="F32" s="19" t="n">
        <v>45666</v>
      </c>
      <c r="G32" s="18" t="s">
        <v>208</v>
      </c>
      <c r="H32" s="18" t="s">
        <v>126</v>
      </c>
      <c r="I32" s="18" t="s">
        <v>126</v>
      </c>
      <c r="J32" s="18" t="s">
        <v>165</v>
      </c>
      <c r="K32" s="18" t="s">
        <v>209</v>
      </c>
      <c r="L32" s="18" t="s">
        <v>59</v>
      </c>
      <c r="M32" s="22" t="s">
        <v>50</v>
      </c>
      <c r="N32" s="18" t="s">
        <v>141</v>
      </c>
    </row>
    <row r="33" customFormat="false" ht="15" hidden="false" customHeight="false" outlineLevel="0" collapsed="false">
      <c r="A33" s="18" t="s">
        <v>120</v>
      </c>
      <c r="B33" s="18" t="s">
        <v>222</v>
      </c>
      <c r="C33" s="18" t="s">
        <v>122</v>
      </c>
      <c r="D33" s="18" t="s">
        <v>201</v>
      </c>
      <c r="E33" s="18" t="s">
        <v>223</v>
      </c>
      <c r="F33" s="19" t="n">
        <v>45666</v>
      </c>
      <c r="G33" s="18" t="s">
        <v>125</v>
      </c>
      <c r="H33" s="18" t="s">
        <v>126</v>
      </c>
      <c r="I33" s="18" t="s">
        <v>126</v>
      </c>
      <c r="J33" s="18" t="s">
        <v>126</v>
      </c>
      <c r="K33" s="18"/>
      <c r="L33" s="18" t="s">
        <v>204</v>
      </c>
      <c r="M33" s="18"/>
      <c r="N33" s="18" t="s">
        <v>220</v>
      </c>
    </row>
    <row r="34" customFormat="false" ht="15" hidden="false" customHeight="false" outlineLevel="0" collapsed="false">
      <c r="A34" s="18" t="s">
        <v>120</v>
      </c>
      <c r="B34" s="18" t="s">
        <v>224</v>
      </c>
      <c r="C34" s="18" t="s">
        <v>122</v>
      </c>
      <c r="D34" s="18" t="s">
        <v>201</v>
      </c>
      <c r="E34" s="18" t="s">
        <v>225</v>
      </c>
      <c r="F34" s="19" t="n">
        <v>45666</v>
      </c>
      <c r="G34" s="18" t="s">
        <v>125</v>
      </c>
      <c r="H34" s="18" t="s">
        <v>126</v>
      </c>
      <c r="I34" s="18" t="s">
        <v>126</v>
      </c>
      <c r="J34" s="18" t="s">
        <v>126</v>
      </c>
      <c r="K34" s="18"/>
      <c r="L34" s="18" t="s">
        <v>204</v>
      </c>
      <c r="M34" s="18"/>
      <c r="N34" s="18" t="s">
        <v>220</v>
      </c>
    </row>
    <row r="35" customFormat="false" ht="15" hidden="false" customHeight="false" outlineLevel="0" collapsed="false">
      <c r="A35" s="18" t="s">
        <v>120</v>
      </c>
      <c r="B35" s="18" t="s">
        <v>226</v>
      </c>
      <c r="C35" s="18" t="s">
        <v>122</v>
      </c>
      <c r="D35" s="18" t="s">
        <v>201</v>
      </c>
      <c r="E35" s="18" t="s">
        <v>227</v>
      </c>
      <c r="F35" s="19" t="n">
        <v>45666</v>
      </c>
      <c r="G35" s="18" t="s">
        <v>125</v>
      </c>
      <c r="H35" s="18" t="s">
        <v>126</v>
      </c>
      <c r="I35" s="18" t="s">
        <v>126</v>
      </c>
      <c r="J35" s="18" t="s">
        <v>126</v>
      </c>
      <c r="K35" s="18"/>
      <c r="L35" s="18" t="s">
        <v>204</v>
      </c>
      <c r="M35" s="18"/>
      <c r="N35" s="18" t="s">
        <v>220</v>
      </c>
    </row>
    <row r="36" customFormat="false" ht="15" hidden="false" customHeight="false" outlineLevel="0" collapsed="false">
      <c r="A36" s="18" t="s">
        <v>120</v>
      </c>
      <c r="B36" s="18" t="s">
        <v>228</v>
      </c>
      <c r="C36" s="18" t="s">
        <v>194</v>
      </c>
      <c r="D36" s="18"/>
      <c r="E36" s="18" t="s">
        <v>229</v>
      </c>
      <c r="F36" s="19" t="n">
        <v>45666</v>
      </c>
      <c r="G36" s="18" t="s">
        <v>208</v>
      </c>
      <c r="H36" s="18" t="s">
        <v>126</v>
      </c>
      <c r="I36" s="18" t="s">
        <v>126</v>
      </c>
      <c r="J36" s="18" t="s">
        <v>126</v>
      </c>
      <c r="K36" s="18"/>
      <c r="L36" s="18" t="s">
        <v>49</v>
      </c>
      <c r="M36" s="22" t="s">
        <v>50</v>
      </c>
      <c r="N36" s="18" t="s">
        <v>230</v>
      </c>
    </row>
    <row r="37" customFormat="false" ht="15" hidden="false" customHeight="false" outlineLevel="0" collapsed="false">
      <c r="A37" s="18" t="s">
        <v>120</v>
      </c>
      <c r="B37" s="18" t="s">
        <v>231</v>
      </c>
      <c r="C37" s="18" t="s">
        <v>122</v>
      </c>
      <c r="D37" s="18" t="s">
        <v>232</v>
      </c>
      <c r="E37" s="18" t="s">
        <v>233</v>
      </c>
      <c r="F37" s="19" t="n">
        <v>45667</v>
      </c>
      <c r="G37" s="18" t="s">
        <v>125</v>
      </c>
      <c r="H37" s="18" t="s">
        <v>126</v>
      </c>
      <c r="I37" s="18" t="s">
        <v>126</v>
      </c>
      <c r="J37" s="18" t="s">
        <v>126</v>
      </c>
      <c r="K37" s="18"/>
      <c r="L37" s="18" t="s">
        <v>204</v>
      </c>
      <c r="M37" s="18"/>
      <c r="N37" s="18" t="s">
        <v>220</v>
      </c>
    </row>
    <row r="38" customFormat="false" ht="15" hidden="false" customHeight="false" outlineLevel="0" collapsed="false">
      <c r="A38" s="18" t="s">
        <v>120</v>
      </c>
      <c r="B38" s="18" t="s">
        <v>234</v>
      </c>
      <c r="C38" s="18" t="s">
        <v>194</v>
      </c>
      <c r="D38" s="18"/>
      <c r="E38" s="18" t="s">
        <v>235</v>
      </c>
      <c r="F38" s="19" t="n">
        <v>45667.75</v>
      </c>
      <c r="G38" s="18" t="s">
        <v>208</v>
      </c>
      <c r="H38" s="18" t="s">
        <v>126</v>
      </c>
      <c r="I38" s="18" t="s">
        <v>126</v>
      </c>
      <c r="J38" s="18" t="s">
        <v>126</v>
      </c>
      <c r="K38" s="18"/>
      <c r="L38" s="18" t="s">
        <v>171</v>
      </c>
      <c r="M38" s="18"/>
      <c r="N38" s="18" t="s">
        <v>172</v>
      </c>
    </row>
    <row r="39" customFormat="false" ht="15" hidden="false" customHeight="false" outlineLevel="0" collapsed="false">
      <c r="A39" s="18" t="s">
        <v>120</v>
      </c>
      <c r="B39" s="18" t="s">
        <v>236</v>
      </c>
      <c r="C39" s="18" t="s">
        <v>122</v>
      </c>
      <c r="D39" s="18" t="s">
        <v>129</v>
      </c>
      <c r="E39" s="18" t="s">
        <v>237</v>
      </c>
      <c r="F39" s="19" t="n">
        <v>45671</v>
      </c>
      <c r="G39" s="18" t="s">
        <v>125</v>
      </c>
      <c r="H39" s="18" t="s">
        <v>126</v>
      </c>
      <c r="I39" s="18" t="s">
        <v>126</v>
      </c>
      <c r="J39" s="18" t="s">
        <v>126</v>
      </c>
      <c r="K39" s="18"/>
      <c r="L39" s="18" t="s">
        <v>32</v>
      </c>
      <c r="M39" s="20" t="s">
        <v>12</v>
      </c>
      <c r="N39" s="18" t="s">
        <v>238</v>
      </c>
    </row>
    <row r="40" customFormat="false" ht="15" hidden="false" customHeight="false" outlineLevel="0" collapsed="false">
      <c r="A40" s="18" t="s">
        <v>120</v>
      </c>
      <c r="B40" s="18" t="s">
        <v>239</v>
      </c>
      <c r="C40" s="18" t="s">
        <v>194</v>
      </c>
      <c r="D40" s="18"/>
      <c r="E40" s="18" t="s">
        <v>240</v>
      </c>
      <c r="F40" s="19" t="n">
        <v>45674</v>
      </c>
      <c r="G40" s="18" t="s">
        <v>196</v>
      </c>
      <c r="H40" s="18" t="s">
        <v>165</v>
      </c>
      <c r="I40" s="18" t="s">
        <v>165</v>
      </c>
      <c r="J40" s="18" t="s">
        <v>165</v>
      </c>
      <c r="K40" s="18" t="s">
        <v>209</v>
      </c>
      <c r="L40" s="18" t="s">
        <v>52</v>
      </c>
      <c r="M40" s="21" t="s">
        <v>15</v>
      </c>
      <c r="N40" s="18" t="s">
        <v>241</v>
      </c>
    </row>
    <row r="41" customFormat="false" ht="15" hidden="false" customHeight="false" outlineLevel="0" collapsed="false">
      <c r="A41" s="18" t="s">
        <v>120</v>
      </c>
      <c r="B41" s="18" t="s">
        <v>242</v>
      </c>
      <c r="C41" s="18" t="s">
        <v>122</v>
      </c>
      <c r="D41" s="18" t="s">
        <v>240</v>
      </c>
      <c r="E41" s="18" t="s">
        <v>243</v>
      </c>
      <c r="F41" s="19" t="n">
        <v>45674</v>
      </c>
      <c r="G41" s="18" t="s">
        <v>244</v>
      </c>
      <c r="H41" s="18" t="s">
        <v>165</v>
      </c>
      <c r="I41" s="18" t="s">
        <v>126</v>
      </c>
      <c r="J41" s="18" t="s">
        <v>126</v>
      </c>
      <c r="K41" s="18"/>
      <c r="L41" s="18" t="s">
        <v>36</v>
      </c>
      <c r="M41" s="22" t="s">
        <v>50</v>
      </c>
      <c r="N41" s="18" t="s">
        <v>243</v>
      </c>
    </row>
    <row r="42" customFormat="false" ht="15" hidden="false" customHeight="false" outlineLevel="0" collapsed="false">
      <c r="A42" s="18" t="s">
        <v>120</v>
      </c>
      <c r="B42" s="18" t="s">
        <v>245</v>
      </c>
      <c r="C42" s="18" t="s">
        <v>122</v>
      </c>
      <c r="D42" s="18" t="s">
        <v>240</v>
      </c>
      <c r="E42" s="18" t="s">
        <v>246</v>
      </c>
      <c r="F42" s="19" t="n">
        <v>45674</v>
      </c>
      <c r="G42" s="18" t="s">
        <v>203</v>
      </c>
      <c r="H42" s="18" t="s">
        <v>165</v>
      </c>
      <c r="I42" s="18" t="s">
        <v>126</v>
      </c>
      <c r="J42" s="18" t="s">
        <v>126</v>
      </c>
      <c r="K42" s="18"/>
      <c r="L42" s="18" t="s">
        <v>52</v>
      </c>
      <c r="M42" s="21" t="s">
        <v>15</v>
      </c>
      <c r="N42" s="18" t="s">
        <v>241</v>
      </c>
    </row>
    <row r="43" customFormat="false" ht="15" hidden="false" customHeight="false" outlineLevel="0" collapsed="false">
      <c r="A43" s="18" t="s">
        <v>120</v>
      </c>
      <c r="B43" s="18" t="s">
        <v>247</v>
      </c>
      <c r="C43" s="18" t="s">
        <v>122</v>
      </c>
      <c r="D43" s="18" t="s">
        <v>240</v>
      </c>
      <c r="E43" s="18" t="s">
        <v>248</v>
      </c>
      <c r="F43" s="19" t="n">
        <v>45674</v>
      </c>
      <c r="G43" s="18" t="s">
        <v>244</v>
      </c>
      <c r="H43" s="18" t="s">
        <v>165</v>
      </c>
      <c r="I43" s="18" t="s">
        <v>126</v>
      </c>
      <c r="J43" s="18" t="s">
        <v>126</v>
      </c>
      <c r="K43" s="18"/>
      <c r="L43" s="18" t="s">
        <v>52</v>
      </c>
      <c r="M43" s="21" t="s">
        <v>15</v>
      </c>
      <c r="N43" s="18" t="s">
        <v>241</v>
      </c>
    </row>
    <row r="44" customFormat="false" ht="15" hidden="false" customHeight="false" outlineLevel="0" collapsed="false">
      <c r="A44" s="18" t="s">
        <v>120</v>
      </c>
      <c r="B44" s="18" t="s">
        <v>249</v>
      </c>
      <c r="C44" s="18" t="s">
        <v>194</v>
      </c>
      <c r="D44" s="18"/>
      <c r="E44" s="18" t="s">
        <v>250</v>
      </c>
      <c r="F44" s="19" t="n">
        <v>45674.625</v>
      </c>
      <c r="G44" s="18" t="s">
        <v>208</v>
      </c>
      <c r="H44" s="18" t="s">
        <v>126</v>
      </c>
      <c r="I44" s="18" t="s">
        <v>126</v>
      </c>
      <c r="J44" s="18" t="s">
        <v>126</v>
      </c>
      <c r="K44" s="18"/>
      <c r="L44" s="18" t="s">
        <v>42</v>
      </c>
      <c r="M44" s="20" t="s">
        <v>12</v>
      </c>
      <c r="N44" s="18" t="s">
        <v>251</v>
      </c>
    </row>
    <row r="45" customFormat="false" ht="15" hidden="false" customHeight="false" outlineLevel="0" collapsed="false">
      <c r="A45" s="18" t="s">
        <v>120</v>
      </c>
      <c r="B45" s="18" t="s">
        <v>252</v>
      </c>
      <c r="C45" s="18" t="s">
        <v>194</v>
      </c>
      <c r="D45" s="18"/>
      <c r="E45" s="18" t="s">
        <v>253</v>
      </c>
      <c r="F45" s="19" t="n">
        <v>45677</v>
      </c>
      <c r="G45" s="18" t="s">
        <v>196</v>
      </c>
      <c r="H45" s="18" t="s">
        <v>165</v>
      </c>
      <c r="I45" s="18" t="s">
        <v>165</v>
      </c>
      <c r="J45" s="18" t="s">
        <v>126</v>
      </c>
      <c r="K45" s="18"/>
      <c r="L45" s="18" t="s">
        <v>171</v>
      </c>
      <c r="M45" s="18"/>
      <c r="N45" s="18" t="s">
        <v>172</v>
      </c>
    </row>
    <row r="46" customFormat="false" ht="15" hidden="false" customHeight="false" outlineLevel="0" collapsed="false">
      <c r="A46" s="18" t="s">
        <v>120</v>
      </c>
      <c r="B46" s="18" t="s">
        <v>254</v>
      </c>
      <c r="C46" s="18" t="s">
        <v>122</v>
      </c>
      <c r="D46" s="18" t="s">
        <v>133</v>
      </c>
      <c r="E46" s="18" t="s">
        <v>255</v>
      </c>
      <c r="F46" s="19" t="n">
        <v>45677</v>
      </c>
      <c r="G46" s="18" t="s">
        <v>125</v>
      </c>
      <c r="H46" s="18" t="s">
        <v>126</v>
      </c>
      <c r="I46" s="18" t="s">
        <v>126</v>
      </c>
      <c r="J46" s="18" t="s">
        <v>126</v>
      </c>
      <c r="K46" s="18"/>
      <c r="L46" s="18" t="s">
        <v>171</v>
      </c>
      <c r="M46" s="18"/>
      <c r="N46" s="18" t="s">
        <v>172</v>
      </c>
    </row>
    <row r="47" customFormat="false" ht="15" hidden="false" customHeight="false" outlineLevel="0" collapsed="false">
      <c r="A47" s="18" t="s">
        <v>120</v>
      </c>
      <c r="B47" s="18" t="s">
        <v>256</v>
      </c>
      <c r="C47" s="18" t="s">
        <v>122</v>
      </c>
      <c r="D47" s="18" t="s">
        <v>129</v>
      </c>
      <c r="E47" s="18" t="s">
        <v>257</v>
      </c>
      <c r="F47" s="19" t="n">
        <v>45677</v>
      </c>
      <c r="G47" s="18" t="s">
        <v>125</v>
      </c>
      <c r="H47" s="18" t="s">
        <v>126</v>
      </c>
      <c r="I47" s="18" t="s">
        <v>126</v>
      </c>
      <c r="J47" s="18" t="s">
        <v>126</v>
      </c>
      <c r="K47" s="18"/>
      <c r="L47" s="18" t="s">
        <v>42</v>
      </c>
      <c r="M47" s="21" t="s">
        <v>15</v>
      </c>
      <c r="N47" s="18" t="s">
        <v>175</v>
      </c>
    </row>
    <row r="48" customFormat="false" ht="15" hidden="false" customHeight="false" outlineLevel="0" collapsed="false">
      <c r="A48" s="18" t="s">
        <v>120</v>
      </c>
      <c r="B48" s="18" t="s">
        <v>258</v>
      </c>
      <c r="C48" s="18" t="s">
        <v>194</v>
      </c>
      <c r="D48" s="18"/>
      <c r="E48" s="18" t="s">
        <v>259</v>
      </c>
      <c r="F48" s="19" t="n">
        <v>45677</v>
      </c>
      <c r="G48" s="18" t="s">
        <v>208</v>
      </c>
      <c r="H48" s="18" t="s">
        <v>126</v>
      </c>
      <c r="I48" s="18" t="s">
        <v>126</v>
      </c>
      <c r="J48" s="18" t="s">
        <v>126</v>
      </c>
      <c r="K48" s="18"/>
      <c r="L48" s="18" t="s">
        <v>171</v>
      </c>
      <c r="M48" s="18"/>
      <c r="N48" s="18" t="s">
        <v>172</v>
      </c>
    </row>
    <row r="49" customFormat="false" ht="15" hidden="false" customHeight="false" outlineLevel="0" collapsed="false">
      <c r="A49" s="18" t="s">
        <v>120</v>
      </c>
      <c r="B49" s="18" t="s">
        <v>260</v>
      </c>
      <c r="C49" s="18" t="s">
        <v>194</v>
      </c>
      <c r="D49" s="18"/>
      <c r="E49" s="18" t="s">
        <v>261</v>
      </c>
      <c r="F49" s="19" t="n">
        <v>45677.75</v>
      </c>
      <c r="G49" s="18" t="s">
        <v>208</v>
      </c>
      <c r="H49" s="18" t="s">
        <v>126</v>
      </c>
      <c r="I49" s="18" t="s">
        <v>126</v>
      </c>
      <c r="J49" s="18" t="s">
        <v>126</v>
      </c>
      <c r="K49" s="18"/>
      <c r="L49" s="18" t="s">
        <v>204</v>
      </c>
      <c r="M49" s="18"/>
      <c r="N49" s="18" t="s">
        <v>220</v>
      </c>
    </row>
    <row r="50" customFormat="false" ht="15" hidden="false" customHeight="false" outlineLevel="0" collapsed="false">
      <c r="A50" s="18" t="s">
        <v>120</v>
      </c>
      <c r="B50" s="18" t="s">
        <v>262</v>
      </c>
      <c r="C50" s="18" t="s">
        <v>194</v>
      </c>
      <c r="D50" s="18"/>
      <c r="E50" s="18" t="s">
        <v>263</v>
      </c>
      <c r="F50" s="19" t="n">
        <v>45677.75</v>
      </c>
      <c r="G50" s="18" t="s">
        <v>208</v>
      </c>
      <c r="H50" s="18" t="s">
        <v>126</v>
      </c>
      <c r="I50" s="18" t="s">
        <v>126</v>
      </c>
      <c r="J50" s="18" t="s">
        <v>126</v>
      </c>
      <c r="K50" s="18"/>
      <c r="L50" s="18" t="s">
        <v>171</v>
      </c>
      <c r="M50" s="18"/>
      <c r="N50" s="18" t="s">
        <v>172</v>
      </c>
    </row>
    <row r="51" customFormat="false" ht="15" hidden="false" customHeight="false" outlineLevel="0" collapsed="false">
      <c r="A51" s="18" t="s">
        <v>120</v>
      </c>
      <c r="B51" s="18" t="s">
        <v>264</v>
      </c>
      <c r="C51" s="18" t="s">
        <v>194</v>
      </c>
      <c r="D51" s="18"/>
      <c r="E51" s="18" t="s">
        <v>265</v>
      </c>
      <c r="F51" s="19" t="n">
        <v>45677.75</v>
      </c>
      <c r="G51" s="18" t="s">
        <v>266</v>
      </c>
      <c r="H51" s="18" t="s">
        <v>165</v>
      </c>
      <c r="I51" s="18" t="s">
        <v>165</v>
      </c>
      <c r="J51" s="18" t="s">
        <v>126</v>
      </c>
      <c r="K51" s="18"/>
      <c r="L51" s="18" t="s">
        <v>204</v>
      </c>
      <c r="M51" s="18"/>
      <c r="N51" s="18" t="s">
        <v>220</v>
      </c>
    </row>
    <row r="52" customFormat="false" ht="15" hidden="false" customHeight="false" outlineLevel="0" collapsed="false">
      <c r="A52" s="18" t="s">
        <v>120</v>
      </c>
      <c r="B52" s="18" t="s">
        <v>267</v>
      </c>
      <c r="C52" s="18" t="s">
        <v>194</v>
      </c>
      <c r="D52" s="18"/>
      <c r="E52" s="18" t="s">
        <v>218</v>
      </c>
      <c r="F52" s="19" t="n">
        <v>45679</v>
      </c>
      <c r="G52" s="18" t="s">
        <v>208</v>
      </c>
      <c r="H52" s="18" t="s">
        <v>126</v>
      </c>
      <c r="I52" s="18" t="s">
        <v>126</v>
      </c>
      <c r="J52" s="18" t="s">
        <v>126</v>
      </c>
      <c r="K52" s="18"/>
      <c r="L52" s="18" t="s">
        <v>56</v>
      </c>
      <c r="M52" s="20" t="s">
        <v>12</v>
      </c>
      <c r="N52" s="18" t="s">
        <v>268</v>
      </c>
    </row>
    <row r="53" customFormat="false" ht="15" hidden="false" customHeight="false" outlineLevel="0" collapsed="false">
      <c r="A53" s="18" t="s">
        <v>120</v>
      </c>
      <c r="B53" s="18" t="s">
        <v>269</v>
      </c>
      <c r="C53" s="18" t="s">
        <v>194</v>
      </c>
      <c r="D53" s="18"/>
      <c r="E53" s="18" t="s">
        <v>270</v>
      </c>
      <c r="F53" s="19" t="n">
        <v>45679.5</v>
      </c>
      <c r="G53" s="18" t="s">
        <v>208</v>
      </c>
      <c r="H53" s="18" t="s">
        <v>126</v>
      </c>
      <c r="I53" s="18" t="s">
        <v>126</v>
      </c>
      <c r="J53" s="18" t="s">
        <v>126</v>
      </c>
      <c r="K53" s="18"/>
      <c r="L53" s="18" t="s">
        <v>89</v>
      </c>
      <c r="M53" s="20" t="s">
        <v>12</v>
      </c>
      <c r="N53" s="18" t="s">
        <v>197</v>
      </c>
    </row>
    <row r="54" customFormat="false" ht="15" hidden="false" customHeight="false" outlineLevel="0" collapsed="false">
      <c r="A54" s="18" t="s">
        <v>120</v>
      </c>
      <c r="B54" s="18" t="s">
        <v>271</v>
      </c>
      <c r="C54" s="18" t="s">
        <v>194</v>
      </c>
      <c r="D54" s="18"/>
      <c r="E54" s="18" t="s">
        <v>272</v>
      </c>
      <c r="F54" s="19" t="n">
        <v>45680</v>
      </c>
      <c r="G54" s="18" t="s">
        <v>196</v>
      </c>
      <c r="H54" s="18" t="s">
        <v>165</v>
      </c>
      <c r="I54" s="18" t="s">
        <v>165</v>
      </c>
      <c r="J54" s="18" t="s">
        <v>126</v>
      </c>
      <c r="K54" s="18"/>
      <c r="L54" s="18" t="s">
        <v>273</v>
      </c>
      <c r="M54" s="18"/>
      <c r="N54" s="18" t="s">
        <v>274</v>
      </c>
    </row>
    <row r="55" customFormat="false" ht="15" hidden="false" customHeight="false" outlineLevel="0" collapsed="false">
      <c r="A55" s="18" t="s">
        <v>120</v>
      </c>
      <c r="B55" s="18" t="s">
        <v>275</v>
      </c>
      <c r="C55" s="18" t="s">
        <v>122</v>
      </c>
      <c r="D55" s="18" t="s">
        <v>276</v>
      </c>
      <c r="E55" s="18" t="s">
        <v>277</v>
      </c>
      <c r="F55" s="19" t="n">
        <v>45684</v>
      </c>
      <c r="G55" s="18" t="s">
        <v>196</v>
      </c>
      <c r="H55" s="18" t="s">
        <v>165</v>
      </c>
      <c r="I55" s="18" t="s">
        <v>165</v>
      </c>
      <c r="J55" s="18" t="s">
        <v>126</v>
      </c>
      <c r="K55" s="18"/>
      <c r="L55" s="18" t="s">
        <v>54</v>
      </c>
      <c r="M55" s="22" t="s">
        <v>50</v>
      </c>
      <c r="N55" s="18" t="s">
        <v>278</v>
      </c>
    </row>
    <row r="56" customFormat="false" ht="15" hidden="false" customHeight="false" outlineLevel="0" collapsed="false">
      <c r="A56" s="18" t="s">
        <v>120</v>
      </c>
      <c r="B56" s="18" t="s">
        <v>279</v>
      </c>
      <c r="C56" s="18" t="s">
        <v>122</v>
      </c>
      <c r="D56" s="18" t="s">
        <v>276</v>
      </c>
      <c r="E56" s="18" t="s">
        <v>280</v>
      </c>
      <c r="F56" s="19" t="n">
        <v>45686</v>
      </c>
      <c r="G56" s="18" t="s">
        <v>196</v>
      </c>
      <c r="H56" s="18" t="s">
        <v>165</v>
      </c>
      <c r="I56" s="18" t="s">
        <v>165</v>
      </c>
      <c r="J56" s="18" t="s">
        <v>126</v>
      </c>
      <c r="K56" s="18"/>
      <c r="L56" s="18" t="s">
        <v>54</v>
      </c>
      <c r="M56" s="22" t="s">
        <v>50</v>
      </c>
      <c r="N56" s="18" t="s">
        <v>278</v>
      </c>
    </row>
    <row r="57" customFormat="false" ht="15" hidden="false" customHeight="false" outlineLevel="0" collapsed="false">
      <c r="A57" s="18" t="s">
        <v>120</v>
      </c>
      <c r="B57" s="18" t="s">
        <v>281</v>
      </c>
      <c r="C57" s="18" t="s">
        <v>122</v>
      </c>
      <c r="D57" s="18" t="s">
        <v>129</v>
      </c>
      <c r="E57" s="18" t="s">
        <v>282</v>
      </c>
      <c r="F57" s="19" t="n">
        <v>45687</v>
      </c>
      <c r="G57" s="18" t="s">
        <v>125</v>
      </c>
      <c r="H57" s="18" t="s">
        <v>126</v>
      </c>
      <c r="I57" s="18" t="s">
        <v>126</v>
      </c>
      <c r="J57" s="18" t="s">
        <v>126</v>
      </c>
      <c r="K57" s="18"/>
      <c r="L57" s="18" t="s">
        <v>204</v>
      </c>
      <c r="M57" s="18"/>
      <c r="N57" s="18" t="s">
        <v>283</v>
      </c>
    </row>
    <row r="58" customFormat="false" ht="15" hidden="false" customHeight="false" outlineLevel="0" collapsed="false">
      <c r="A58" s="18" t="s">
        <v>120</v>
      </c>
      <c r="B58" s="18" t="s">
        <v>284</v>
      </c>
      <c r="C58" s="18" t="s">
        <v>122</v>
      </c>
      <c r="D58" s="18" t="s">
        <v>285</v>
      </c>
      <c r="E58" s="18" t="s">
        <v>233</v>
      </c>
      <c r="F58" s="19" t="n">
        <v>45687</v>
      </c>
      <c r="G58" s="18" t="s">
        <v>125</v>
      </c>
      <c r="H58" s="18" t="s">
        <v>126</v>
      </c>
      <c r="I58" s="18" t="s">
        <v>126</v>
      </c>
      <c r="J58" s="18" t="s">
        <v>126</v>
      </c>
      <c r="K58" s="18"/>
      <c r="L58" s="18" t="s">
        <v>204</v>
      </c>
      <c r="M58" s="18"/>
      <c r="N58" s="18" t="s">
        <v>220</v>
      </c>
    </row>
    <row r="59" customFormat="false" ht="15" hidden="false" customHeight="false" outlineLevel="0" collapsed="false">
      <c r="A59" s="18" t="s">
        <v>120</v>
      </c>
      <c r="B59" s="18" t="s">
        <v>286</v>
      </c>
      <c r="C59" s="18" t="s">
        <v>194</v>
      </c>
      <c r="D59" s="18"/>
      <c r="E59" s="18" t="s">
        <v>287</v>
      </c>
      <c r="F59" s="19" t="n">
        <v>45688</v>
      </c>
      <c r="G59" s="18" t="s">
        <v>208</v>
      </c>
      <c r="H59" s="18" t="s">
        <v>126</v>
      </c>
      <c r="I59" s="18" t="s">
        <v>126</v>
      </c>
      <c r="J59" s="18" t="s">
        <v>126</v>
      </c>
      <c r="K59" s="18"/>
      <c r="L59" s="18" t="s">
        <v>171</v>
      </c>
      <c r="M59" s="18"/>
      <c r="N59" s="18" t="s">
        <v>172</v>
      </c>
    </row>
    <row r="60" customFormat="false" ht="15" hidden="false" customHeight="false" outlineLevel="0" collapsed="false">
      <c r="A60" s="18" t="s">
        <v>120</v>
      </c>
      <c r="B60" s="18" t="s">
        <v>288</v>
      </c>
      <c r="C60" s="18" t="s">
        <v>194</v>
      </c>
      <c r="D60" s="18"/>
      <c r="E60" s="18" t="s">
        <v>289</v>
      </c>
      <c r="F60" s="19" t="n">
        <v>45688.625</v>
      </c>
      <c r="G60" s="18" t="s">
        <v>208</v>
      </c>
      <c r="H60" s="18" t="s">
        <v>126</v>
      </c>
      <c r="I60" s="18" t="s">
        <v>126</v>
      </c>
      <c r="J60" s="18" t="s">
        <v>165</v>
      </c>
      <c r="K60" s="18" t="s">
        <v>209</v>
      </c>
      <c r="L60" s="18" t="s">
        <v>26</v>
      </c>
      <c r="M60" s="20" t="s">
        <v>12</v>
      </c>
      <c r="N60" s="18" t="s">
        <v>135</v>
      </c>
    </row>
    <row r="61" customFormat="false" ht="15" hidden="false" customHeight="false" outlineLevel="0" collapsed="false">
      <c r="A61" s="18" t="s">
        <v>120</v>
      </c>
      <c r="B61" s="18" t="s">
        <v>290</v>
      </c>
      <c r="C61" s="18" t="s">
        <v>122</v>
      </c>
      <c r="D61" s="18" t="s">
        <v>289</v>
      </c>
      <c r="E61" s="18" t="s">
        <v>291</v>
      </c>
      <c r="F61" s="19" t="n">
        <v>45688.625</v>
      </c>
      <c r="G61" s="18" t="s">
        <v>196</v>
      </c>
      <c r="H61" s="18" t="s">
        <v>165</v>
      </c>
      <c r="I61" s="18" t="s">
        <v>165</v>
      </c>
      <c r="J61" s="18" t="s">
        <v>126</v>
      </c>
      <c r="K61" s="18"/>
      <c r="L61" s="18" t="s">
        <v>273</v>
      </c>
      <c r="M61" s="18"/>
      <c r="N61" s="18" t="s">
        <v>274</v>
      </c>
    </row>
    <row r="62" customFormat="false" ht="15" hidden="false" customHeight="false" outlineLevel="0" collapsed="false">
      <c r="A62" s="18" t="s">
        <v>120</v>
      </c>
      <c r="B62" s="18" t="s">
        <v>292</v>
      </c>
      <c r="C62" s="18" t="s">
        <v>122</v>
      </c>
      <c r="D62" s="18" t="s">
        <v>289</v>
      </c>
      <c r="E62" s="18" t="s">
        <v>293</v>
      </c>
      <c r="F62" s="19" t="n">
        <v>45688.625</v>
      </c>
      <c r="G62" s="18" t="s">
        <v>203</v>
      </c>
      <c r="H62" s="18" t="s">
        <v>165</v>
      </c>
      <c r="I62" s="18" t="s">
        <v>126</v>
      </c>
      <c r="J62" s="18" t="s">
        <v>126</v>
      </c>
      <c r="K62" s="18"/>
      <c r="L62" s="18" t="s">
        <v>204</v>
      </c>
      <c r="M62" s="18"/>
      <c r="N62" s="18" t="s">
        <v>220</v>
      </c>
    </row>
    <row r="63" customFormat="false" ht="15" hidden="false" customHeight="false" outlineLevel="0" collapsed="false">
      <c r="A63" s="18" t="s">
        <v>120</v>
      </c>
      <c r="B63" s="18" t="s">
        <v>294</v>
      </c>
      <c r="C63" s="18" t="s">
        <v>194</v>
      </c>
      <c r="D63" s="18"/>
      <c r="E63" s="18" t="s">
        <v>295</v>
      </c>
      <c r="F63" s="19" t="n">
        <v>45691</v>
      </c>
      <c r="G63" s="18" t="s">
        <v>196</v>
      </c>
      <c r="H63" s="18" t="s">
        <v>165</v>
      </c>
      <c r="I63" s="18" t="s">
        <v>165</v>
      </c>
      <c r="J63" s="18" t="s">
        <v>126</v>
      </c>
      <c r="K63" s="18"/>
      <c r="L63" s="18" t="s">
        <v>171</v>
      </c>
      <c r="M63" s="18"/>
      <c r="N63" s="18" t="s">
        <v>172</v>
      </c>
    </row>
    <row r="64" customFormat="false" ht="15" hidden="false" customHeight="false" outlineLevel="0" collapsed="false">
      <c r="A64" s="18" t="s">
        <v>120</v>
      </c>
      <c r="B64" s="18" t="s">
        <v>296</v>
      </c>
      <c r="C64" s="18" t="s">
        <v>122</v>
      </c>
      <c r="D64" s="18" t="s">
        <v>297</v>
      </c>
      <c r="E64" s="18" t="s">
        <v>298</v>
      </c>
      <c r="F64" s="19" t="n">
        <v>45691</v>
      </c>
      <c r="G64" s="18" t="s">
        <v>125</v>
      </c>
      <c r="H64" s="18" t="s">
        <v>126</v>
      </c>
      <c r="I64" s="18" t="s">
        <v>126</v>
      </c>
      <c r="J64" s="18" t="s">
        <v>126</v>
      </c>
      <c r="K64" s="18"/>
      <c r="L64" s="18" t="s">
        <v>72</v>
      </c>
      <c r="M64" s="20" t="s">
        <v>12</v>
      </c>
      <c r="N64" s="18" t="s">
        <v>150</v>
      </c>
    </row>
    <row r="65" customFormat="false" ht="15" hidden="false" customHeight="false" outlineLevel="0" collapsed="false">
      <c r="A65" s="18" t="s">
        <v>120</v>
      </c>
      <c r="B65" s="18" t="s">
        <v>299</v>
      </c>
      <c r="C65" s="18" t="s">
        <v>122</v>
      </c>
      <c r="D65" s="18" t="s">
        <v>133</v>
      </c>
      <c r="E65" s="18" t="s">
        <v>300</v>
      </c>
      <c r="F65" s="19" t="n">
        <v>45691</v>
      </c>
      <c r="G65" s="18" t="s">
        <v>125</v>
      </c>
      <c r="H65" s="18" t="s">
        <v>126</v>
      </c>
      <c r="I65" s="18" t="s">
        <v>126</v>
      </c>
      <c r="J65" s="18" t="s">
        <v>126</v>
      </c>
      <c r="K65" s="18"/>
      <c r="L65" s="18" t="s">
        <v>171</v>
      </c>
      <c r="M65" s="18"/>
      <c r="N65" s="18" t="s">
        <v>172</v>
      </c>
    </row>
    <row r="66" customFormat="false" ht="15" hidden="false" customHeight="false" outlineLevel="0" collapsed="false">
      <c r="A66" s="18" t="s">
        <v>120</v>
      </c>
      <c r="B66" s="18" t="s">
        <v>301</v>
      </c>
      <c r="C66" s="18" t="s">
        <v>194</v>
      </c>
      <c r="D66" s="18"/>
      <c r="E66" s="18" t="s">
        <v>302</v>
      </c>
      <c r="F66" s="19" t="n">
        <v>45692</v>
      </c>
      <c r="G66" s="18" t="s">
        <v>208</v>
      </c>
      <c r="H66" s="18" t="s">
        <v>126</v>
      </c>
      <c r="I66" s="18" t="s">
        <v>126</v>
      </c>
      <c r="J66" s="18" t="s">
        <v>126</v>
      </c>
      <c r="K66" s="18"/>
      <c r="L66" s="18" t="s">
        <v>171</v>
      </c>
      <c r="M66" s="18"/>
      <c r="N66" s="18" t="s">
        <v>172</v>
      </c>
    </row>
    <row r="67" customFormat="false" ht="15" hidden="false" customHeight="false" outlineLevel="0" collapsed="false">
      <c r="A67" s="18" t="s">
        <v>120</v>
      </c>
      <c r="B67" s="18" t="s">
        <v>303</v>
      </c>
      <c r="C67" s="18" t="s">
        <v>122</v>
      </c>
      <c r="D67" s="18" t="s">
        <v>129</v>
      </c>
      <c r="E67" s="18" t="s">
        <v>304</v>
      </c>
      <c r="F67" s="19" t="n">
        <v>45692</v>
      </c>
      <c r="G67" s="18" t="s">
        <v>125</v>
      </c>
      <c r="H67" s="18" t="s">
        <v>126</v>
      </c>
      <c r="I67" s="18" t="s">
        <v>126</v>
      </c>
      <c r="J67" s="18" t="s">
        <v>126</v>
      </c>
      <c r="K67" s="18"/>
      <c r="L67" s="18" t="s">
        <v>42</v>
      </c>
      <c r="M67" s="22" t="s">
        <v>50</v>
      </c>
      <c r="N67" s="18" t="s">
        <v>305</v>
      </c>
    </row>
    <row r="68" customFormat="false" ht="15" hidden="false" customHeight="false" outlineLevel="0" collapsed="false">
      <c r="A68" s="18" t="s">
        <v>120</v>
      </c>
      <c r="B68" s="18" t="s">
        <v>306</v>
      </c>
      <c r="C68" s="18" t="s">
        <v>122</v>
      </c>
      <c r="D68" s="18" t="s">
        <v>129</v>
      </c>
      <c r="E68" s="18" t="s">
        <v>307</v>
      </c>
      <c r="F68" s="19" t="n">
        <v>45692</v>
      </c>
      <c r="G68" s="18" t="s">
        <v>125</v>
      </c>
      <c r="H68" s="18" t="s">
        <v>126</v>
      </c>
      <c r="I68" s="18" t="s">
        <v>126</v>
      </c>
      <c r="J68" s="18" t="s">
        <v>126</v>
      </c>
      <c r="K68" s="18"/>
      <c r="L68" s="18" t="s">
        <v>45</v>
      </c>
      <c r="M68" s="20" t="s">
        <v>12</v>
      </c>
      <c r="N68" s="18" t="s">
        <v>308</v>
      </c>
    </row>
    <row r="69" customFormat="false" ht="15" hidden="false" customHeight="false" outlineLevel="0" collapsed="false">
      <c r="A69" s="18" t="s">
        <v>120</v>
      </c>
      <c r="B69" s="18" t="s">
        <v>309</v>
      </c>
      <c r="C69" s="18" t="s">
        <v>122</v>
      </c>
      <c r="D69" s="18" t="s">
        <v>133</v>
      </c>
      <c r="E69" s="18" t="s">
        <v>310</v>
      </c>
      <c r="F69" s="19" t="n">
        <v>45693</v>
      </c>
      <c r="G69" s="18" t="s">
        <v>125</v>
      </c>
      <c r="H69" s="18" t="s">
        <v>126</v>
      </c>
      <c r="I69" s="18" t="s">
        <v>126</v>
      </c>
      <c r="J69" s="18" t="s">
        <v>126</v>
      </c>
      <c r="K69" s="18"/>
      <c r="L69" s="18" t="s">
        <v>171</v>
      </c>
      <c r="M69" s="18"/>
      <c r="N69" s="18" t="s">
        <v>172</v>
      </c>
    </row>
    <row r="70" customFormat="false" ht="15" hidden="false" customHeight="false" outlineLevel="0" collapsed="false">
      <c r="A70" s="18" t="s">
        <v>120</v>
      </c>
      <c r="B70" s="18" t="s">
        <v>311</v>
      </c>
      <c r="C70" s="18" t="s">
        <v>194</v>
      </c>
      <c r="D70" s="18"/>
      <c r="E70" s="18" t="s">
        <v>312</v>
      </c>
      <c r="F70" s="19" t="n">
        <v>45694</v>
      </c>
      <c r="G70" s="18" t="s">
        <v>208</v>
      </c>
      <c r="H70" s="18" t="s">
        <v>126</v>
      </c>
      <c r="I70" s="18" t="s">
        <v>126</v>
      </c>
      <c r="J70" s="18" t="s">
        <v>165</v>
      </c>
      <c r="K70" s="18" t="s">
        <v>209</v>
      </c>
      <c r="L70" s="18" t="s">
        <v>273</v>
      </c>
      <c r="M70" s="18"/>
      <c r="N70" s="18" t="s">
        <v>274</v>
      </c>
    </row>
    <row r="71" customFormat="false" ht="15" hidden="false" customHeight="false" outlineLevel="0" collapsed="false">
      <c r="A71" s="18" t="s">
        <v>120</v>
      </c>
      <c r="B71" s="18" t="s">
        <v>313</v>
      </c>
      <c r="C71" s="18" t="s">
        <v>122</v>
      </c>
      <c r="D71" s="18" t="s">
        <v>312</v>
      </c>
      <c r="E71" s="18" t="s">
        <v>314</v>
      </c>
      <c r="F71" s="19" t="n">
        <v>45694</v>
      </c>
      <c r="G71" s="18" t="s">
        <v>203</v>
      </c>
      <c r="H71" s="18" t="s">
        <v>165</v>
      </c>
      <c r="I71" s="18" t="s">
        <v>126</v>
      </c>
      <c r="J71" s="18" t="s">
        <v>126</v>
      </c>
      <c r="K71" s="18"/>
      <c r="L71" s="18" t="s">
        <v>171</v>
      </c>
      <c r="M71" s="18"/>
      <c r="N71" s="18" t="s">
        <v>172</v>
      </c>
    </row>
    <row r="72" customFormat="false" ht="15" hidden="false" customHeight="false" outlineLevel="0" collapsed="false">
      <c r="A72" s="18" t="s">
        <v>120</v>
      </c>
      <c r="B72" s="18" t="s">
        <v>315</v>
      </c>
      <c r="C72" s="18" t="s">
        <v>194</v>
      </c>
      <c r="D72" s="18"/>
      <c r="E72" s="18" t="s">
        <v>316</v>
      </c>
      <c r="F72" s="19" t="n">
        <v>45695</v>
      </c>
      <c r="G72" s="18" t="s">
        <v>208</v>
      </c>
      <c r="H72" s="18" t="s">
        <v>126</v>
      </c>
      <c r="I72" s="18" t="s">
        <v>126</v>
      </c>
      <c r="J72" s="18" t="s">
        <v>126</v>
      </c>
      <c r="K72" s="18"/>
      <c r="L72" s="18" t="s">
        <v>49</v>
      </c>
      <c r="M72" s="22" t="s">
        <v>50</v>
      </c>
      <c r="N72" s="18" t="s">
        <v>230</v>
      </c>
    </row>
    <row r="73" customFormat="false" ht="15" hidden="false" customHeight="false" outlineLevel="0" collapsed="false">
      <c r="A73" s="18" t="s">
        <v>120</v>
      </c>
      <c r="B73" s="18" t="s">
        <v>317</v>
      </c>
      <c r="C73" s="18" t="s">
        <v>194</v>
      </c>
      <c r="D73" s="18"/>
      <c r="E73" s="18" t="s">
        <v>318</v>
      </c>
      <c r="F73" s="19" t="n">
        <v>45698</v>
      </c>
      <c r="G73" s="18" t="s">
        <v>208</v>
      </c>
      <c r="H73" s="18" t="s">
        <v>126</v>
      </c>
      <c r="I73" s="18" t="s">
        <v>126</v>
      </c>
      <c r="J73" s="18" t="s">
        <v>165</v>
      </c>
      <c r="K73" s="18" t="s">
        <v>166</v>
      </c>
      <c r="L73" s="18" t="s">
        <v>167</v>
      </c>
      <c r="M73" s="18"/>
      <c r="N73" s="18" t="s">
        <v>168</v>
      </c>
    </row>
    <row r="74" customFormat="false" ht="15" hidden="false" customHeight="false" outlineLevel="0" collapsed="false">
      <c r="A74" s="18" t="s">
        <v>120</v>
      </c>
      <c r="B74" s="18" t="s">
        <v>319</v>
      </c>
      <c r="C74" s="18" t="s">
        <v>194</v>
      </c>
      <c r="D74" s="18"/>
      <c r="E74" s="18" t="s">
        <v>320</v>
      </c>
      <c r="F74" s="19" t="n">
        <v>45698</v>
      </c>
      <c r="G74" s="18" t="s">
        <v>208</v>
      </c>
      <c r="H74" s="18" t="s">
        <v>126</v>
      </c>
      <c r="I74" s="18" t="s">
        <v>126</v>
      </c>
      <c r="J74" s="18" t="s">
        <v>126</v>
      </c>
      <c r="K74" s="18"/>
      <c r="L74" s="18" t="s">
        <v>171</v>
      </c>
      <c r="M74" s="18"/>
      <c r="N74" s="18" t="s">
        <v>172</v>
      </c>
    </row>
    <row r="75" customFormat="false" ht="15" hidden="false" customHeight="false" outlineLevel="0" collapsed="false">
      <c r="A75" s="18" t="s">
        <v>120</v>
      </c>
      <c r="B75" s="18" t="s">
        <v>321</v>
      </c>
      <c r="C75" s="18" t="s">
        <v>122</v>
      </c>
      <c r="D75" s="18" t="s">
        <v>297</v>
      </c>
      <c r="E75" s="18" t="s">
        <v>322</v>
      </c>
      <c r="F75" s="19" t="n">
        <v>45698</v>
      </c>
      <c r="G75" s="18" t="s">
        <v>125</v>
      </c>
      <c r="H75" s="18" t="s">
        <v>126</v>
      </c>
      <c r="I75" s="18" t="s">
        <v>126</v>
      </c>
      <c r="J75" s="18" t="s">
        <v>126</v>
      </c>
      <c r="K75" s="18"/>
      <c r="L75" s="18" t="s">
        <v>59</v>
      </c>
      <c r="M75" s="22" t="s">
        <v>50</v>
      </c>
      <c r="N75" s="18" t="s">
        <v>141</v>
      </c>
    </row>
    <row r="76" customFormat="false" ht="15" hidden="false" customHeight="false" outlineLevel="0" collapsed="false">
      <c r="A76" s="18" t="s">
        <v>120</v>
      </c>
      <c r="B76" s="18" t="s">
        <v>323</v>
      </c>
      <c r="C76" s="18" t="s">
        <v>122</v>
      </c>
      <c r="D76" s="18" t="s">
        <v>276</v>
      </c>
      <c r="E76" s="18" t="s">
        <v>324</v>
      </c>
      <c r="F76" s="19" t="n">
        <v>45699</v>
      </c>
      <c r="G76" s="18" t="s">
        <v>125</v>
      </c>
      <c r="H76" s="18" t="s">
        <v>126</v>
      </c>
      <c r="I76" s="18" t="s">
        <v>126</v>
      </c>
      <c r="J76" s="18" t="s">
        <v>126</v>
      </c>
      <c r="K76" s="18"/>
      <c r="L76" s="18" t="s">
        <v>54</v>
      </c>
      <c r="M76" s="22" t="s">
        <v>50</v>
      </c>
      <c r="N76" s="18" t="s">
        <v>278</v>
      </c>
    </row>
    <row r="77" customFormat="false" ht="15" hidden="false" customHeight="false" outlineLevel="0" collapsed="false">
      <c r="A77" s="18" t="s">
        <v>120</v>
      </c>
      <c r="B77" s="18" t="s">
        <v>325</v>
      </c>
      <c r="C77" s="18" t="s">
        <v>194</v>
      </c>
      <c r="D77" s="18"/>
      <c r="E77" s="18" t="s">
        <v>326</v>
      </c>
      <c r="F77" s="19" t="n">
        <v>45701</v>
      </c>
      <c r="G77" s="18" t="s">
        <v>208</v>
      </c>
      <c r="H77" s="18" t="s">
        <v>126</v>
      </c>
      <c r="I77" s="18" t="s">
        <v>126</v>
      </c>
      <c r="J77" s="18" t="s">
        <v>165</v>
      </c>
      <c r="K77" s="18" t="s">
        <v>166</v>
      </c>
      <c r="L77" s="18" t="s">
        <v>167</v>
      </c>
      <c r="M77" s="18"/>
      <c r="N77" s="18" t="s">
        <v>168</v>
      </c>
    </row>
    <row r="78" customFormat="false" ht="15" hidden="false" customHeight="false" outlineLevel="0" collapsed="false">
      <c r="A78" s="18" t="s">
        <v>120</v>
      </c>
      <c r="B78" s="18" t="s">
        <v>327</v>
      </c>
      <c r="C78" s="18" t="s">
        <v>194</v>
      </c>
      <c r="D78" s="18"/>
      <c r="E78" s="18" t="s">
        <v>328</v>
      </c>
      <c r="F78" s="19" t="n">
        <v>45705</v>
      </c>
      <c r="G78" s="18" t="s">
        <v>208</v>
      </c>
      <c r="H78" s="18" t="s">
        <v>126</v>
      </c>
      <c r="I78" s="18" t="s">
        <v>126</v>
      </c>
      <c r="J78" s="18" t="s">
        <v>126</v>
      </c>
      <c r="K78" s="18"/>
      <c r="L78" s="18" t="s">
        <v>171</v>
      </c>
      <c r="M78" s="18"/>
      <c r="N78" s="18" t="s">
        <v>172</v>
      </c>
    </row>
    <row r="79" customFormat="false" ht="15" hidden="false" customHeight="false" outlineLevel="0" collapsed="false">
      <c r="A79" s="18" t="s">
        <v>120</v>
      </c>
      <c r="B79" s="18" t="s">
        <v>329</v>
      </c>
      <c r="C79" s="18" t="s">
        <v>194</v>
      </c>
      <c r="D79" s="18"/>
      <c r="E79" s="18" t="s">
        <v>330</v>
      </c>
      <c r="F79" s="19" t="n">
        <v>45705</v>
      </c>
      <c r="G79" s="18" t="s">
        <v>208</v>
      </c>
      <c r="H79" s="18" t="s">
        <v>126</v>
      </c>
      <c r="I79" s="18" t="s">
        <v>126</v>
      </c>
      <c r="J79" s="18" t="s">
        <v>126</v>
      </c>
      <c r="K79" s="18"/>
      <c r="L79" s="18" t="s">
        <v>171</v>
      </c>
      <c r="M79" s="18"/>
      <c r="N79" s="18" t="s">
        <v>172</v>
      </c>
    </row>
    <row r="80" customFormat="false" ht="15" hidden="false" customHeight="false" outlineLevel="0" collapsed="false">
      <c r="A80" s="18" t="s">
        <v>120</v>
      </c>
      <c r="B80" s="18" t="s">
        <v>331</v>
      </c>
      <c r="C80" s="18" t="s">
        <v>194</v>
      </c>
      <c r="D80" s="18"/>
      <c r="E80" s="18" t="s">
        <v>332</v>
      </c>
      <c r="F80" s="19" t="n">
        <v>45706</v>
      </c>
      <c r="G80" s="18" t="s">
        <v>208</v>
      </c>
      <c r="H80" s="18" t="s">
        <v>126</v>
      </c>
      <c r="I80" s="18" t="s">
        <v>126</v>
      </c>
      <c r="J80" s="18" t="s">
        <v>126</v>
      </c>
      <c r="K80" s="18"/>
      <c r="L80" s="18" t="s">
        <v>54</v>
      </c>
      <c r="M80" s="21" t="s">
        <v>15</v>
      </c>
      <c r="N80" s="18" t="s">
        <v>138</v>
      </c>
    </row>
    <row r="81" customFormat="false" ht="15" hidden="false" customHeight="false" outlineLevel="0" collapsed="false">
      <c r="A81" s="18" t="s">
        <v>120</v>
      </c>
      <c r="B81" s="18" t="s">
        <v>333</v>
      </c>
      <c r="C81" s="18" t="s">
        <v>194</v>
      </c>
      <c r="D81" s="18"/>
      <c r="E81" s="18" t="s">
        <v>334</v>
      </c>
      <c r="F81" s="19" t="n">
        <v>45707</v>
      </c>
      <c r="G81" s="18" t="s">
        <v>208</v>
      </c>
      <c r="H81" s="18" t="s">
        <v>126</v>
      </c>
      <c r="I81" s="18" t="s">
        <v>126</v>
      </c>
      <c r="J81" s="18" t="s">
        <v>126</v>
      </c>
      <c r="K81" s="18"/>
      <c r="L81" s="18" t="s">
        <v>89</v>
      </c>
      <c r="M81" s="20" t="s">
        <v>12</v>
      </c>
      <c r="N81" s="18" t="s">
        <v>197</v>
      </c>
    </row>
    <row r="82" customFormat="false" ht="15" hidden="false" customHeight="false" outlineLevel="0" collapsed="false">
      <c r="A82" s="18" t="s">
        <v>120</v>
      </c>
      <c r="B82" s="18" t="s">
        <v>335</v>
      </c>
      <c r="C82" s="18" t="s">
        <v>122</v>
      </c>
      <c r="D82" s="18" t="s">
        <v>187</v>
      </c>
      <c r="E82" s="18" t="s">
        <v>336</v>
      </c>
      <c r="F82" s="19" t="n">
        <v>45707</v>
      </c>
      <c r="G82" s="18" t="s">
        <v>125</v>
      </c>
      <c r="H82" s="18" t="s">
        <v>126</v>
      </c>
      <c r="I82" s="18" t="s">
        <v>126</v>
      </c>
      <c r="J82" s="18" t="s">
        <v>126</v>
      </c>
      <c r="K82" s="18"/>
      <c r="L82" s="18" t="s">
        <v>86</v>
      </c>
      <c r="M82" s="20" t="s">
        <v>12</v>
      </c>
      <c r="N82" s="18" t="s">
        <v>337</v>
      </c>
    </row>
    <row r="83" customFormat="false" ht="15" hidden="false" customHeight="false" outlineLevel="0" collapsed="false">
      <c r="A83" s="18" t="s">
        <v>120</v>
      </c>
      <c r="B83" s="18" t="s">
        <v>338</v>
      </c>
      <c r="C83" s="18" t="s">
        <v>122</v>
      </c>
      <c r="D83" s="18" t="s">
        <v>187</v>
      </c>
      <c r="E83" s="18" t="s">
        <v>339</v>
      </c>
      <c r="F83" s="19" t="n">
        <v>45707</v>
      </c>
      <c r="G83" s="18" t="s">
        <v>125</v>
      </c>
      <c r="H83" s="18" t="s">
        <v>126</v>
      </c>
      <c r="I83" s="18" t="s">
        <v>126</v>
      </c>
      <c r="J83" s="18" t="s">
        <v>126</v>
      </c>
      <c r="K83" s="18"/>
      <c r="L83" s="18" t="s">
        <v>204</v>
      </c>
      <c r="M83" s="18"/>
      <c r="N83" s="18" t="s">
        <v>220</v>
      </c>
    </row>
    <row r="84" customFormat="false" ht="15" hidden="false" customHeight="false" outlineLevel="0" collapsed="false">
      <c r="A84" s="18" t="s">
        <v>120</v>
      </c>
      <c r="B84" s="18" t="s">
        <v>340</v>
      </c>
      <c r="C84" s="18" t="s">
        <v>194</v>
      </c>
      <c r="D84" s="18"/>
      <c r="E84" s="18" t="s">
        <v>341</v>
      </c>
      <c r="F84" s="19" t="n">
        <v>45708</v>
      </c>
      <c r="G84" s="18" t="s">
        <v>208</v>
      </c>
      <c r="H84" s="18" t="s">
        <v>126</v>
      </c>
      <c r="I84" s="18" t="s">
        <v>126</v>
      </c>
      <c r="J84" s="18" t="s">
        <v>126</v>
      </c>
      <c r="K84" s="18"/>
      <c r="L84" s="18" t="s">
        <v>56</v>
      </c>
      <c r="M84" s="20" t="s">
        <v>12</v>
      </c>
      <c r="N84" s="18" t="s">
        <v>268</v>
      </c>
    </row>
    <row r="85" customFormat="false" ht="15" hidden="false" customHeight="false" outlineLevel="0" collapsed="false">
      <c r="A85" s="18" t="s">
        <v>120</v>
      </c>
      <c r="B85" s="18" t="s">
        <v>342</v>
      </c>
      <c r="C85" s="18" t="s">
        <v>122</v>
      </c>
      <c r="D85" s="18" t="s">
        <v>343</v>
      </c>
      <c r="E85" s="18" t="s">
        <v>344</v>
      </c>
      <c r="F85" s="19" t="n">
        <v>45708</v>
      </c>
      <c r="G85" s="18" t="s">
        <v>125</v>
      </c>
      <c r="H85" s="18" t="s">
        <v>126</v>
      </c>
      <c r="I85" s="18" t="s">
        <v>126</v>
      </c>
      <c r="J85" s="18" t="s">
        <v>126</v>
      </c>
      <c r="K85" s="18"/>
      <c r="L85" s="18" t="s">
        <v>56</v>
      </c>
      <c r="M85" s="20" t="s">
        <v>12</v>
      </c>
      <c r="N85" s="18" t="s">
        <v>268</v>
      </c>
    </row>
    <row r="86" customFormat="false" ht="15" hidden="false" customHeight="false" outlineLevel="0" collapsed="false">
      <c r="A86" s="18" t="s">
        <v>120</v>
      </c>
      <c r="B86" s="18" t="s">
        <v>345</v>
      </c>
      <c r="C86" s="18" t="s">
        <v>194</v>
      </c>
      <c r="D86" s="18"/>
      <c r="E86" s="18" t="s">
        <v>346</v>
      </c>
      <c r="F86" s="19" t="n">
        <v>45709</v>
      </c>
      <c r="G86" s="18" t="s">
        <v>208</v>
      </c>
      <c r="H86" s="18" t="s">
        <v>126</v>
      </c>
      <c r="I86" s="18" t="s">
        <v>126</v>
      </c>
      <c r="J86" s="18" t="s">
        <v>126</v>
      </c>
      <c r="K86" s="18"/>
      <c r="L86" s="18" t="s">
        <v>56</v>
      </c>
      <c r="M86" s="21" t="s">
        <v>15</v>
      </c>
      <c r="N86" s="18" t="s">
        <v>347</v>
      </c>
    </row>
    <row r="87" customFormat="false" ht="15" hidden="false" customHeight="false" outlineLevel="0" collapsed="false">
      <c r="A87" s="18" t="s">
        <v>120</v>
      </c>
      <c r="B87" s="18" t="s">
        <v>348</v>
      </c>
      <c r="C87" s="18" t="s">
        <v>194</v>
      </c>
      <c r="D87" s="18"/>
      <c r="E87" s="18" t="s">
        <v>187</v>
      </c>
      <c r="F87" s="19" t="n">
        <v>45709.625</v>
      </c>
      <c r="G87" s="18" t="s">
        <v>208</v>
      </c>
      <c r="H87" s="18" t="s">
        <v>126</v>
      </c>
      <c r="I87" s="18" t="s">
        <v>126</v>
      </c>
      <c r="J87" s="18" t="s">
        <v>126</v>
      </c>
      <c r="K87" s="18"/>
      <c r="L87" s="18" t="s">
        <v>81</v>
      </c>
      <c r="M87" s="22" t="s">
        <v>50</v>
      </c>
      <c r="N87" s="18" t="s">
        <v>81</v>
      </c>
    </row>
    <row r="88" customFormat="false" ht="15" hidden="false" customHeight="false" outlineLevel="0" collapsed="false">
      <c r="A88" s="18" t="s">
        <v>120</v>
      </c>
      <c r="B88" s="18" t="s">
        <v>349</v>
      </c>
      <c r="C88" s="18" t="s">
        <v>122</v>
      </c>
      <c r="D88" s="18" t="s">
        <v>187</v>
      </c>
      <c r="E88" s="18" t="s">
        <v>350</v>
      </c>
      <c r="F88" s="19" t="n">
        <v>45709.625</v>
      </c>
      <c r="G88" s="18" t="s">
        <v>125</v>
      </c>
      <c r="H88" s="18" t="s">
        <v>126</v>
      </c>
      <c r="I88" s="18" t="s">
        <v>126</v>
      </c>
      <c r="J88" s="18" t="s">
        <v>126</v>
      </c>
      <c r="K88" s="18"/>
      <c r="L88" s="18" t="s">
        <v>34</v>
      </c>
      <c r="M88" s="20" t="s">
        <v>12</v>
      </c>
      <c r="N88" s="18" t="s">
        <v>34</v>
      </c>
    </row>
    <row r="89" customFormat="false" ht="15" hidden="false" customHeight="false" outlineLevel="0" collapsed="false">
      <c r="A89" s="18" t="s">
        <v>120</v>
      </c>
      <c r="B89" s="18" t="s">
        <v>351</v>
      </c>
      <c r="C89" s="18" t="s">
        <v>194</v>
      </c>
      <c r="D89" s="18"/>
      <c r="E89" s="18" t="s">
        <v>352</v>
      </c>
      <c r="F89" s="19" t="n">
        <v>45712</v>
      </c>
      <c r="G89" s="18" t="s">
        <v>208</v>
      </c>
      <c r="H89" s="18" t="s">
        <v>126</v>
      </c>
      <c r="I89" s="18" t="s">
        <v>126</v>
      </c>
      <c r="J89" s="18" t="s">
        <v>126</v>
      </c>
      <c r="K89" s="18"/>
      <c r="L89" s="18" t="s">
        <v>171</v>
      </c>
      <c r="M89" s="18"/>
      <c r="N89" s="18" t="s">
        <v>172</v>
      </c>
    </row>
    <row r="90" customFormat="false" ht="15" hidden="false" customHeight="false" outlineLevel="0" collapsed="false">
      <c r="A90" s="18" t="s">
        <v>120</v>
      </c>
      <c r="B90" s="18" t="s">
        <v>353</v>
      </c>
      <c r="C90" s="18" t="s">
        <v>194</v>
      </c>
      <c r="D90" s="18"/>
      <c r="E90" s="18" t="s">
        <v>123</v>
      </c>
      <c r="F90" s="19" t="n">
        <v>45712</v>
      </c>
      <c r="G90" s="18" t="s">
        <v>208</v>
      </c>
      <c r="H90" s="18" t="s">
        <v>126</v>
      </c>
      <c r="I90" s="18" t="s">
        <v>126</v>
      </c>
      <c r="J90" s="18" t="s">
        <v>165</v>
      </c>
      <c r="K90" s="18" t="s">
        <v>209</v>
      </c>
      <c r="L90" s="18" t="s">
        <v>273</v>
      </c>
      <c r="M90" s="18"/>
      <c r="N90" s="18" t="s">
        <v>274</v>
      </c>
    </row>
    <row r="91" customFormat="false" ht="15" hidden="false" customHeight="false" outlineLevel="0" collapsed="false">
      <c r="A91" s="18" t="s">
        <v>120</v>
      </c>
      <c r="B91" s="18" t="s">
        <v>354</v>
      </c>
      <c r="C91" s="18" t="s">
        <v>122</v>
      </c>
      <c r="D91" s="18" t="s">
        <v>123</v>
      </c>
      <c r="E91" s="18" t="s">
        <v>355</v>
      </c>
      <c r="F91" s="19" t="n">
        <v>45712</v>
      </c>
      <c r="G91" s="18" t="s">
        <v>203</v>
      </c>
      <c r="H91" s="18" t="s">
        <v>165</v>
      </c>
      <c r="I91" s="18" t="s">
        <v>126</v>
      </c>
      <c r="J91" s="18" t="s">
        <v>126</v>
      </c>
      <c r="K91" s="18"/>
      <c r="L91" s="18" t="s">
        <v>171</v>
      </c>
      <c r="M91" s="18"/>
      <c r="N91" s="18" t="s">
        <v>172</v>
      </c>
    </row>
    <row r="92" customFormat="false" ht="15" hidden="false" customHeight="false" outlineLevel="0" collapsed="false">
      <c r="A92" s="18" t="s">
        <v>120</v>
      </c>
      <c r="B92" s="18" t="s">
        <v>356</v>
      </c>
      <c r="C92" s="18" t="s">
        <v>122</v>
      </c>
      <c r="D92" s="18" t="s">
        <v>123</v>
      </c>
      <c r="E92" s="18" t="s">
        <v>357</v>
      </c>
      <c r="F92" s="19" t="n">
        <v>45712</v>
      </c>
      <c r="G92" s="18" t="s">
        <v>358</v>
      </c>
      <c r="H92" s="18" t="s">
        <v>126</v>
      </c>
      <c r="I92" s="18" t="s">
        <v>126</v>
      </c>
      <c r="J92" s="18" t="s">
        <v>126</v>
      </c>
      <c r="K92" s="18"/>
      <c r="L92" s="18" t="s">
        <v>204</v>
      </c>
      <c r="M92" s="18"/>
      <c r="N92" s="18" t="s">
        <v>220</v>
      </c>
    </row>
    <row r="93" customFormat="false" ht="15" hidden="false" customHeight="false" outlineLevel="0" collapsed="false">
      <c r="A93" s="18" t="s">
        <v>120</v>
      </c>
      <c r="B93" s="18" t="s">
        <v>359</v>
      </c>
      <c r="C93" s="18" t="s">
        <v>122</v>
      </c>
      <c r="D93" s="18" t="s">
        <v>123</v>
      </c>
      <c r="E93" s="18" t="s">
        <v>360</v>
      </c>
      <c r="F93" s="19" t="n">
        <v>45712</v>
      </c>
      <c r="G93" s="18" t="s">
        <v>358</v>
      </c>
      <c r="H93" s="18" t="s">
        <v>126</v>
      </c>
      <c r="I93" s="18" t="s">
        <v>126</v>
      </c>
      <c r="J93" s="18" t="s">
        <v>126</v>
      </c>
      <c r="K93" s="18"/>
      <c r="L93" s="18" t="s">
        <v>204</v>
      </c>
      <c r="M93" s="18"/>
      <c r="N93" s="18" t="s">
        <v>220</v>
      </c>
    </row>
    <row r="94" customFormat="false" ht="15" hidden="false" customHeight="false" outlineLevel="0" collapsed="false">
      <c r="A94" s="18" t="s">
        <v>120</v>
      </c>
      <c r="B94" s="18" t="s">
        <v>361</v>
      </c>
      <c r="C94" s="18" t="s">
        <v>122</v>
      </c>
      <c r="D94" s="18" t="s">
        <v>123</v>
      </c>
      <c r="E94" s="18" t="s">
        <v>362</v>
      </c>
      <c r="F94" s="19" t="n">
        <v>45712</v>
      </c>
      <c r="G94" s="18" t="s">
        <v>203</v>
      </c>
      <c r="H94" s="18" t="s">
        <v>165</v>
      </c>
      <c r="I94" s="18" t="s">
        <v>126</v>
      </c>
      <c r="J94" s="18" t="s">
        <v>126</v>
      </c>
      <c r="K94" s="18"/>
      <c r="L94" s="18" t="s">
        <v>72</v>
      </c>
      <c r="M94" s="20" t="s">
        <v>12</v>
      </c>
      <c r="N94" s="18" t="s">
        <v>150</v>
      </c>
    </row>
    <row r="95" customFormat="false" ht="15" hidden="false" customHeight="false" outlineLevel="0" collapsed="false">
      <c r="A95" s="18" t="s">
        <v>120</v>
      </c>
      <c r="B95" s="18" t="s">
        <v>363</v>
      </c>
      <c r="C95" s="18" t="s">
        <v>122</v>
      </c>
      <c r="D95" s="18" t="s">
        <v>123</v>
      </c>
      <c r="E95" s="18" t="s">
        <v>364</v>
      </c>
      <c r="F95" s="19" t="n">
        <v>45712</v>
      </c>
      <c r="G95" s="18" t="s">
        <v>203</v>
      </c>
      <c r="H95" s="18" t="s">
        <v>165</v>
      </c>
      <c r="I95" s="18" t="s">
        <v>126</v>
      </c>
      <c r="J95" s="18" t="s">
        <v>126</v>
      </c>
      <c r="K95" s="18"/>
      <c r="L95" s="18" t="s">
        <v>171</v>
      </c>
      <c r="M95" s="18"/>
      <c r="N95" s="18" t="s">
        <v>172</v>
      </c>
    </row>
    <row r="96" customFormat="false" ht="15" hidden="false" customHeight="false" outlineLevel="0" collapsed="false">
      <c r="A96" s="18" t="s">
        <v>120</v>
      </c>
      <c r="B96" s="18" t="s">
        <v>365</v>
      </c>
      <c r="C96" s="18" t="s">
        <v>122</v>
      </c>
      <c r="D96" s="18" t="s">
        <v>123</v>
      </c>
      <c r="E96" s="18" t="s">
        <v>366</v>
      </c>
      <c r="F96" s="19" t="n">
        <v>45712</v>
      </c>
      <c r="G96" s="18" t="s">
        <v>203</v>
      </c>
      <c r="H96" s="18" t="s">
        <v>165</v>
      </c>
      <c r="I96" s="18" t="s">
        <v>126</v>
      </c>
      <c r="J96" s="18" t="s">
        <v>126</v>
      </c>
      <c r="K96" s="18"/>
      <c r="L96" s="18" t="s">
        <v>171</v>
      </c>
      <c r="M96" s="18"/>
      <c r="N96" s="18" t="s">
        <v>367</v>
      </c>
    </row>
    <row r="97" customFormat="false" ht="15" hidden="false" customHeight="false" outlineLevel="0" collapsed="false">
      <c r="A97" s="18" t="s">
        <v>120</v>
      </c>
      <c r="B97" s="18" t="s">
        <v>368</v>
      </c>
      <c r="C97" s="18" t="s">
        <v>122</v>
      </c>
      <c r="D97" s="18" t="s">
        <v>369</v>
      </c>
      <c r="E97" s="18" t="s">
        <v>370</v>
      </c>
      <c r="F97" s="19" t="n">
        <v>45712</v>
      </c>
      <c r="G97" s="18" t="s">
        <v>266</v>
      </c>
      <c r="H97" s="18" t="s">
        <v>165</v>
      </c>
      <c r="I97" s="18" t="s">
        <v>165</v>
      </c>
      <c r="J97" s="18" t="s">
        <v>126</v>
      </c>
      <c r="K97" s="18"/>
      <c r="L97" s="18" t="s">
        <v>204</v>
      </c>
      <c r="M97" s="18"/>
      <c r="N97" s="18" t="s">
        <v>220</v>
      </c>
    </row>
    <row r="98" customFormat="false" ht="15" hidden="false" customHeight="false" outlineLevel="0" collapsed="false">
      <c r="A98" s="18" t="s">
        <v>120</v>
      </c>
      <c r="B98" s="18" t="s">
        <v>371</v>
      </c>
      <c r="C98" s="18" t="s">
        <v>194</v>
      </c>
      <c r="D98" s="18"/>
      <c r="E98" s="18" t="s">
        <v>232</v>
      </c>
      <c r="F98" s="19" t="n">
        <v>45713</v>
      </c>
      <c r="G98" s="18" t="s">
        <v>208</v>
      </c>
      <c r="H98" s="18" t="s">
        <v>126</v>
      </c>
      <c r="I98" s="18" t="s">
        <v>126</v>
      </c>
      <c r="J98" s="18" t="s">
        <v>126</v>
      </c>
      <c r="K98" s="18"/>
      <c r="L98" s="18" t="s">
        <v>210</v>
      </c>
      <c r="M98" s="18"/>
      <c r="N98" s="18" t="s">
        <v>211</v>
      </c>
    </row>
    <row r="99" customFormat="false" ht="15" hidden="false" customHeight="false" outlineLevel="0" collapsed="false">
      <c r="A99" s="18" t="s">
        <v>120</v>
      </c>
      <c r="B99" s="18" t="s">
        <v>372</v>
      </c>
      <c r="C99" s="18" t="s">
        <v>122</v>
      </c>
      <c r="D99" s="18" t="s">
        <v>297</v>
      </c>
      <c r="E99" s="18" t="s">
        <v>373</v>
      </c>
      <c r="F99" s="19" t="n">
        <v>45713</v>
      </c>
      <c r="G99" s="18" t="s">
        <v>125</v>
      </c>
      <c r="H99" s="18" t="s">
        <v>126</v>
      </c>
      <c r="I99" s="18" t="s">
        <v>126</v>
      </c>
      <c r="J99" s="18" t="s">
        <v>126</v>
      </c>
      <c r="K99" s="18"/>
      <c r="L99" s="18" t="s">
        <v>72</v>
      </c>
      <c r="M99" s="20" t="s">
        <v>12</v>
      </c>
      <c r="N99" s="18" t="s">
        <v>150</v>
      </c>
    </row>
    <row r="100" customFormat="false" ht="15" hidden="false" customHeight="false" outlineLevel="0" collapsed="false">
      <c r="A100" s="18" t="s">
        <v>120</v>
      </c>
      <c r="B100" s="18" t="s">
        <v>374</v>
      </c>
      <c r="C100" s="18" t="s">
        <v>194</v>
      </c>
      <c r="D100" s="18"/>
      <c r="E100" s="18" t="s">
        <v>375</v>
      </c>
      <c r="F100" s="19" t="n">
        <v>45714</v>
      </c>
      <c r="G100" s="18" t="s">
        <v>208</v>
      </c>
      <c r="H100" s="18" t="s">
        <v>126</v>
      </c>
      <c r="I100" s="18" t="s">
        <v>126</v>
      </c>
      <c r="J100" s="18" t="s">
        <v>165</v>
      </c>
      <c r="K100" s="18" t="s">
        <v>209</v>
      </c>
      <c r="L100" s="18" t="s">
        <v>273</v>
      </c>
      <c r="M100" s="18"/>
      <c r="N100" s="18" t="s">
        <v>274</v>
      </c>
    </row>
    <row r="101" customFormat="false" ht="15" hidden="false" customHeight="false" outlineLevel="0" collapsed="false">
      <c r="A101" s="18" t="s">
        <v>120</v>
      </c>
      <c r="B101" s="18" t="s">
        <v>376</v>
      </c>
      <c r="C101" s="18" t="s">
        <v>122</v>
      </c>
      <c r="D101" s="18" t="s">
        <v>375</v>
      </c>
      <c r="E101" s="18" t="s">
        <v>377</v>
      </c>
      <c r="F101" s="19" t="n">
        <v>45714</v>
      </c>
      <c r="G101" s="18" t="s">
        <v>203</v>
      </c>
      <c r="H101" s="18" t="s">
        <v>165</v>
      </c>
      <c r="I101" s="18" t="s">
        <v>126</v>
      </c>
      <c r="J101" s="18" t="s">
        <v>126</v>
      </c>
      <c r="K101" s="18"/>
      <c r="L101" s="18" t="s">
        <v>34</v>
      </c>
      <c r="M101" s="20" t="s">
        <v>12</v>
      </c>
      <c r="N101" s="18" t="s">
        <v>34</v>
      </c>
    </row>
    <row r="102" customFormat="false" ht="15" hidden="false" customHeight="false" outlineLevel="0" collapsed="false">
      <c r="A102" s="18" t="s">
        <v>120</v>
      </c>
      <c r="B102" s="18" t="s">
        <v>378</v>
      </c>
      <c r="C102" s="18" t="s">
        <v>122</v>
      </c>
      <c r="D102" s="18" t="s">
        <v>375</v>
      </c>
      <c r="E102" s="18" t="s">
        <v>141</v>
      </c>
      <c r="F102" s="19" t="n">
        <v>45714</v>
      </c>
      <c r="G102" s="18" t="s">
        <v>203</v>
      </c>
      <c r="H102" s="18" t="s">
        <v>165</v>
      </c>
      <c r="I102" s="18" t="s">
        <v>126</v>
      </c>
      <c r="J102" s="18" t="s">
        <v>126</v>
      </c>
      <c r="K102" s="18"/>
      <c r="L102" s="18" t="s">
        <v>59</v>
      </c>
      <c r="M102" s="22" t="s">
        <v>50</v>
      </c>
      <c r="N102" s="18" t="s">
        <v>141</v>
      </c>
    </row>
    <row r="103" customFormat="false" ht="15" hidden="false" customHeight="false" outlineLevel="0" collapsed="false">
      <c r="A103" s="18" t="s">
        <v>120</v>
      </c>
      <c r="B103" s="18" t="s">
        <v>379</v>
      </c>
      <c r="C103" s="18" t="s">
        <v>122</v>
      </c>
      <c r="D103" s="18" t="s">
        <v>375</v>
      </c>
      <c r="E103" s="18" t="s">
        <v>146</v>
      </c>
      <c r="F103" s="19" t="n">
        <v>45714</v>
      </c>
      <c r="G103" s="18" t="s">
        <v>203</v>
      </c>
      <c r="H103" s="18" t="s">
        <v>165</v>
      </c>
      <c r="I103" s="18" t="s">
        <v>126</v>
      </c>
      <c r="J103" s="18" t="s">
        <v>126</v>
      </c>
      <c r="K103" s="18"/>
      <c r="L103" s="18" t="s">
        <v>11</v>
      </c>
      <c r="M103" s="20" t="s">
        <v>12</v>
      </c>
      <c r="N103" s="18" t="s">
        <v>147</v>
      </c>
    </row>
    <row r="104" customFormat="false" ht="15" hidden="false" customHeight="false" outlineLevel="0" collapsed="false">
      <c r="A104" s="18" t="s">
        <v>120</v>
      </c>
      <c r="B104" s="18" t="s">
        <v>380</v>
      </c>
      <c r="C104" s="18" t="s">
        <v>122</v>
      </c>
      <c r="D104" s="18" t="s">
        <v>375</v>
      </c>
      <c r="E104" s="18" t="s">
        <v>381</v>
      </c>
      <c r="F104" s="19" t="n">
        <v>45714</v>
      </c>
      <c r="G104" s="18" t="s">
        <v>203</v>
      </c>
      <c r="H104" s="18" t="s">
        <v>165</v>
      </c>
      <c r="I104" s="18" t="s">
        <v>126</v>
      </c>
      <c r="J104" s="18" t="s">
        <v>126</v>
      </c>
      <c r="K104" s="18"/>
      <c r="L104" s="18" t="s">
        <v>11</v>
      </c>
      <c r="M104" s="20" t="s">
        <v>12</v>
      </c>
      <c r="N104" s="18" t="s">
        <v>147</v>
      </c>
    </row>
    <row r="105" customFormat="false" ht="15" hidden="false" customHeight="false" outlineLevel="0" collapsed="false">
      <c r="A105" s="18" t="s">
        <v>120</v>
      </c>
      <c r="B105" s="18" t="s">
        <v>382</v>
      </c>
      <c r="C105" s="18" t="s">
        <v>122</v>
      </c>
      <c r="D105" s="18" t="s">
        <v>375</v>
      </c>
      <c r="E105" s="18" t="s">
        <v>383</v>
      </c>
      <c r="F105" s="19" t="n">
        <v>45714</v>
      </c>
      <c r="G105" s="18" t="s">
        <v>203</v>
      </c>
      <c r="H105" s="18" t="s">
        <v>165</v>
      </c>
      <c r="I105" s="18" t="s">
        <v>126</v>
      </c>
      <c r="J105" s="18" t="s">
        <v>126</v>
      </c>
      <c r="K105" s="18"/>
      <c r="L105" s="18" t="s">
        <v>11</v>
      </c>
      <c r="M105" s="20" t="s">
        <v>12</v>
      </c>
      <c r="N105" s="18" t="s">
        <v>181</v>
      </c>
    </row>
    <row r="106" customFormat="false" ht="15" hidden="false" customHeight="false" outlineLevel="0" collapsed="false">
      <c r="A106" s="18" t="s">
        <v>120</v>
      </c>
      <c r="B106" s="18" t="s">
        <v>384</v>
      </c>
      <c r="C106" s="18" t="s">
        <v>122</v>
      </c>
      <c r="D106" s="18" t="s">
        <v>375</v>
      </c>
      <c r="E106" s="18" t="s">
        <v>385</v>
      </c>
      <c r="F106" s="19" t="n">
        <v>45714</v>
      </c>
      <c r="G106" s="18" t="s">
        <v>203</v>
      </c>
      <c r="H106" s="18" t="s">
        <v>165</v>
      </c>
      <c r="I106" s="18" t="s">
        <v>126</v>
      </c>
      <c r="J106" s="18" t="s">
        <v>126</v>
      </c>
      <c r="K106" s="18"/>
      <c r="L106" s="18" t="s">
        <v>11</v>
      </c>
      <c r="M106" s="20" t="s">
        <v>12</v>
      </c>
      <c r="N106" s="18" t="s">
        <v>181</v>
      </c>
    </row>
    <row r="107" customFormat="false" ht="15" hidden="false" customHeight="false" outlineLevel="0" collapsed="false">
      <c r="A107" s="18" t="s">
        <v>120</v>
      </c>
      <c r="B107" s="18" t="s">
        <v>386</v>
      </c>
      <c r="C107" s="18" t="s">
        <v>122</v>
      </c>
      <c r="D107" s="18" t="s">
        <v>375</v>
      </c>
      <c r="E107" s="18" t="s">
        <v>387</v>
      </c>
      <c r="F107" s="19" t="n">
        <v>45714</v>
      </c>
      <c r="G107" s="18" t="s">
        <v>388</v>
      </c>
      <c r="H107" s="18" t="s">
        <v>165</v>
      </c>
      <c r="I107" s="18" t="s">
        <v>126</v>
      </c>
      <c r="J107" s="18" t="s">
        <v>126</v>
      </c>
      <c r="K107" s="18"/>
      <c r="L107" s="18" t="s">
        <v>171</v>
      </c>
      <c r="M107" s="18"/>
      <c r="N107" s="18" t="s">
        <v>172</v>
      </c>
    </row>
    <row r="108" customFormat="false" ht="15" hidden="false" customHeight="false" outlineLevel="0" collapsed="false">
      <c r="A108" s="18" t="s">
        <v>120</v>
      </c>
      <c r="B108" s="18" t="s">
        <v>389</v>
      </c>
      <c r="C108" s="18" t="s">
        <v>122</v>
      </c>
      <c r="D108" s="18" t="s">
        <v>375</v>
      </c>
      <c r="E108" s="18" t="s">
        <v>390</v>
      </c>
      <c r="F108" s="19" t="n">
        <v>45714</v>
      </c>
      <c r="G108" s="18" t="s">
        <v>196</v>
      </c>
      <c r="H108" s="18" t="s">
        <v>165</v>
      </c>
      <c r="I108" s="18" t="s">
        <v>165</v>
      </c>
      <c r="J108" s="18" t="s">
        <v>126</v>
      </c>
      <c r="K108" s="18"/>
      <c r="L108" s="18" t="s">
        <v>171</v>
      </c>
      <c r="M108" s="18"/>
      <c r="N108" s="18" t="s">
        <v>172</v>
      </c>
    </row>
    <row r="109" customFormat="false" ht="15" hidden="false" customHeight="false" outlineLevel="0" collapsed="false">
      <c r="A109" s="18" t="s">
        <v>120</v>
      </c>
      <c r="B109" s="18" t="s">
        <v>391</v>
      </c>
      <c r="C109" s="18" t="s">
        <v>122</v>
      </c>
      <c r="D109" s="18" t="s">
        <v>375</v>
      </c>
      <c r="E109" s="18" t="s">
        <v>392</v>
      </c>
      <c r="F109" s="19" t="n">
        <v>45714</v>
      </c>
      <c r="G109" s="18" t="s">
        <v>388</v>
      </c>
      <c r="H109" s="18" t="s">
        <v>165</v>
      </c>
      <c r="I109" s="18" t="s">
        <v>126</v>
      </c>
      <c r="J109" s="18" t="s">
        <v>126</v>
      </c>
      <c r="K109" s="18"/>
      <c r="L109" s="18" t="s">
        <v>171</v>
      </c>
      <c r="M109" s="18"/>
      <c r="N109" s="18" t="s">
        <v>172</v>
      </c>
    </row>
    <row r="110" customFormat="false" ht="15" hidden="false" customHeight="false" outlineLevel="0" collapsed="false">
      <c r="A110" s="18" t="s">
        <v>120</v>
      </c>
      <c r="B110" s="18" t="s">
        <v>393</v>
      </c>
      <c r="C110" s="18" t="s">
        <v>122</v>
      </c>
      <c r="D110" s="18" t="s">
        <v>375</v>
      </c>
      <c r="E110" s="18" t="s">
        <v>394</v>
      </c>
      <c r="F110" s="19" t="n">
        <v>45714</v>
      </c>
      <c r="G110" s="18" t="s">
        <v>395</v>
      </c>
      <c r="H110" s="18" t="s">
        <v>165</v>
      </c>
      <c r="I110" s="18" t="s">
        <v>126</v>
      </c>
      <c r="J110" s="18" t="s">
        <v>126</v>
      </c>
      <c r="K110" s="18"/>
      <c r="L110" s="18" t="s">
        <v>52</v>
      </c>
      <c r="M110" s="22" t="s">
        <v>50</v>
      </c>
      <c r="N110" s="18" t="s">
        <v>178</v>
      </c>
    </row>
    <row r="111" customFormat="false" ht="15" hidden="false" customHeight="false" outlineLevel="0" collapsed="false">
      <c r="A111" s="18" t="s">
        <v>120</v>
      </c>
      <c r="B111" s="18" t="s">
        <v>396</v>
      </c>
      <c r="C111" s="18" t="s">
        <v>122</v>
      </c>
      <c r="D111" s="18" t="s">
        <v>375</v>
      </c>
      <c r="E111" s="18" t="s">
        <v>397</v>
      </c>
      <c r="F111" s="19" t="n">
        <v>45714</v>
      </c>
      <c r="G111" s="18" t="s">
        <v>196</v>
      </c>
      <c r="H111" s="18" t="s">
        <v>165</v>
      </c>
      <c r="I111" s="18" t="s">
        <v>165</v>
      </c>
      <c r="J111" s="18" t="s">
        <v>126</v>
      </c>
      <c r="K111" s="18"/>
      <c r="L111" s="18" t="s">
        <v>52</v>
      </c>
      <c r="M111" s="22" t="s">
        <v>50</v>
      </c>
      <c r="N111" s="18" t="s">
        <v>178</v>
      </c>
    </row>
    <row r="112" customFormat="false" ht="15" hidden="false" customHeight="false" outlineLevel="0" collapsed="false">
      <c r="A112" s="18" t="s">
        <v>120</v>
      </c>
      <c r="B112" s="18" t="s">
        <v>398</v>
      </c>
      <c r="C112" s="18" t="s">
        <v>122</v>
      </c>
      <c r="D112" s="18" t="s">
        <v>375</v>
      </c>
      <c r="E112" s="18" t="s">
        <v>399</v>
      </c>
      <c r="F112" s="19" t="n">
        <v>45714</v>
      </c>
      <c r="G112" s="18" t="s">
        <v>196</v>
      </c>
      <c r="H112" s="18" t="s">
        <v>165</v>
      </c>
      <c r="I112" s="18" t="s">
        <v>165</v>
      </c>
      <c r="J112" s="18" t="s">
        <v>126</v>
      </c>
      <c r="K112" s="18"/>
      <c r="L112" s="18" t="s">
        <v>52</v>
      </c>
      <c r="M112" s="22" t="s">
        <v>50</v>
      </c>
      <c r="N112" s="18" t="s">
        <v>178</v>
      </c>
    </row>
    <row r="113" customFormat="false" ht="15" hidden="false" customHeight="false" outlineLevel="0" collapsed="false">
      <c r="A113" s="18" t="s">
        <v>120</v>
      </c>
      <c r="B113" s="18" t="s">
        <v>400</v>
      </c>
      <c r="C113" s="18" t="s">
        <v>122</v>
      </c>
      <c r="D113" s="18" t="s">
        <v>375</v>
      </c>
      <c r="E113" s="18" t="s">
        <v>401</v>
      </c>
      <c r="F113" s="19" t="n">
        <v>45714</v>
      </c>
      <c r="G113" s="18" t="s">
        <v>196</v>
      </c>
      <c r="H113" s="18" t="s">
        <v>165</v>
      </c>
      <c r="I113" s="18" t="s">
        <v>165</v>
      </c>
      <c r="J113" s="18" t="s">
        <v>126</v>
      </c>
      <c r="K113" s="18"/>
      <c r="L113" s="18" t="s">
        <v>171</v>
      </c>
      <c r="M113" s="18"/>
      <c r="N113" s="18" t="s">
        <v>172</v>
      </c>
    </row>
    <row r="114" customFormat="false" ht="15" hidden="false" customHeight="false" outlineLevel="0" collapsed="false">
      <c r="A114" s="18" t="s">
        <v>120</v>
      </c>
      <c r="B114" s="18" t="s">
        <v>402</v>
      </c>
      <c r="C114" s="18" t="s">
        <v>122</v>
      </c>
      <c r="D114" s="18" t="s">
        <v>375</v>
      </c>
      <c r="E114" s="18" t="s">
        <v>403</v>
      </c>
      <c r="F114" s="19" t="n">
        <v>45714</v>
      </c>
      <c r="G114" s="18" t="s">
        <v>244</v>
      </c>
      <c r="H114" s="18" t="s">
        <v>165</v>
      </c>
      <c r="I114" s="18" t="s">
        <v>126</v>
      </c>
      <c r="J114" s="18" t="s">
        <v>126</v>
      </c>
      <c r="K114" s="18"/>
      <c r="L114" s="18" t="s">
        <v>11</v>
      </c>
      <c r="M114" s="20" t="s">
        <v>12</v>
      </c>
      <c r="N114" s="18" t="s">
        <v>147</v>
      </c>
    </row>
    <row r="115" customFormat="false" ht="15" hidden="false" customHeight="false" outlineLevel="0" collapsed="false">
      <c r="A115" s="18" t="s">
        <v>120</v>
      </c>
      <c r="B115" s="18" t="s">
        <v>404</v>
      </c>
      <c r="C115" s="18" t="s">
        <v>122</v>
      </c>
      <c r="D115" s="18" t="s">
        <v>405</v>
      </c>
      <c r="E115" s="18" t="s">
        <v>243</v>
      </c>
      <c r="F115" s="19" t="n">
        <v>45714</v>
      </c>
      <c r="G115" s="18" t="s">
        <v>358</v>
      </c>
      <c r="H115" s="18" t="s">
        <v>126</v>
      </c>
      <c r="I115" s="18" t="s">
        <v>126</v>
      </c>
      <c r="J115" s="18" t="s">
        <v>126</v>
      </c>
      <c r="K115" s="18"/>
      <c r="L115" s="18" t="s">
        <v>36</v>
      </c>
      <c r="M115" s="22" t="s">
        <v>50</v>
      </c>
      <c r="N115" s="18" t="s">
        <v>243</v>
      </c>
    </row>
    <row r="116" customFormat="false" ht="15" hidden="false" customHeight="false" outlineLevel="0" collapsed="false">
      <c r="A116" s="18" t="s">
        <v>120</v>
      </c>
      <c r="B116" s="18" t="s">
        <v>406</v>
      </c>
      <c r="C116" s="18" t="s">
        <v>122</v>
      </c>
      <c r="D116" s="18" t="s">
        <v>405</v>
      </c>
      <c r="E116" s="18" t="s">
        <v>407</v>
      </c>
      <c r="F116" s="19" t="n">
        <v>45714</v>
      </c>
      <c r="G116" s="18" t="s">
        <v>125</v>
      </c>
      <c r="H116" s="18" t="s">
        <v>126</v>
      </c>
      <c r="I116" s="18" t="s">
        <v>126</v>
      </c>
      <c r="J116" s="18" t="s">
        <v>126</v>
      </c>
      <c r="K116" s="18"/>
      <c r="L116" s="18" t="s">
        <v>91</v>
      </c>
      <c r="M116" s="20" t="s">
        <v>12</v>
      </c>
      <c r="N116" s="18" t="s">
        <v>408</v>
      </c>
    </row>
    <row r="117" customFormat="false" ht="15" hidden="false" customHeight="false" outlineLevel="0" collapsed="false">
      <c r="A117" s="18" t="s">
        <v>120</v>
      </c>
      <c r="B117" s="18" t="s">
        <v>409</v>
      </c>
      <c r="C117" s="18" t="s">
        <v>194</v>
      </c>
      <c r="D117" s="18"/>
      <c r="E117" s="18" t="s">
        <v>410</v>
      </c>
      <c r="F117" s="19" t="n">
        <v>45715</v>
      </c>
      <c r="G117" s="18" t="s">
        <v>208</v>
      </c>
      <c r="H117" s="18" t="s">
        <v>126</v>
      </c>
      <c r="I117" s="18" t="s">
        <v>126</v>
      </c>
      <c r="J117" s="18" t="s">
        <v>126</v>
      </c>
      <c r="K117" s="18"/>
      <c r="L117" s="18" t="s">
        <v>47</v>
      </c>
      <c r="M117" s="21" t="s">
        <v>15</v>
      </c>
      <c r="N117" s="18" t="s">
        <v>411</v>
      </c>
    </row>
    <row r="118" customFormat="false" ht="15" hidden="false" customHeight="false" outlineLevel="0" collapsed="false">
      <c r="A118" s="18" t="s">
        <v>120</v>
      </c>
      <c r="B118" s="18" t="s">
        <v>412</v>
      </c>
      <c r="C118" s="18" t="s">
        <v>122</v>
      </c>
      <c r="D118" s="18" t="s">
        <v>413</v>
      </c>
      <c r="E118" s="18" t="s">
        <v>414</v>
      </c>
      <c r="F118" s="19" t="n">
        <v>45715</v>
      </c>
      <c r="G118" s="18" t="s">
        <v>125</v>
      </c>
      <c r="H118" s="18" t="s">
        <v>126</v>
      </c>
      <c r="I118" s="18" t="s">
        <v>126</v>
      </c>
      <c r="J118" s="18" t="s">
        <v>126</v>
      </c>
      <c r="K118" s="18"/>
      <c r="L118" s="18" t="s">
        <v>52</v>
      </c>
      <c r="M118" s="22" t="s">
        <v>50</v>
      </c>
      <c r="N118" s="18" t="s">
        <v>178</v>
      </c>
    </row>
    <row r="119" customFormat="false" ht="15" hidden="false" customHeight="false" outlineLevel="0" collapsed="false">
      <c r="A119" s="18" t="s">
        <v>120</v>
      </c>
      <c r="B119" s="18" t="s">
        <v>415</v>
      </c>
      <c r="C119" s="18" t="s">
        <v>194</v>
      </c>
      <c r="D119" s="18"/>
      <c r="E119" s="18" t="s">
        <v>129</v>
      </c>
      <c r="F119" s="19" t="n">
        <v>45716</v>
      </c>
      <c r="G119" s="18" t="s">
        <v>203</v>
      </c>
      <c r="H119" s="18" t="s">
        <v>165</v>
      </c>
      <c r="I119" s="18" t="s">
        <v>126</v>
      </c>
      <c r="J119" s="18" t="s">
        <v>165</v>
      </c>
      <c r="K119" s="18" t="s">
        <v>209</v>
      </c>
      <c r="L119" s="18" t="s">
        <v>32</v>
      </c>
      <c r="M119" s="20" t="s">
        <v>12</v>
      </c>
      <c r="N119" s="18" t="s">
        <v>238</v>
      </c>
    </row>
    <row r="120" customFormat="false" ht="15" hidden="false" customHeight="false" outlineLevel="0" collapsed="false">
      <c r="A120" s="18" t="s">
        <v>120</v>
      </c>
      <c r="B120" s="18" t="s">
        <v>416</v>
      </c>
      <c r="C120" s="18" t="s">
        <v>122</v>
      </c>
      <c r="D120" s="18" t="s">
        <v>129</v>
      </c>
      <c r="E120" s="18" t="s">
        <v>417</v>
      </c>
      <c r="F120" s="19" t="n">
        <v>45716</v>
      </c>
      <c r="G120" s="18" t="s">
        <v>125</v>
      </c>
      <c r="H120" s="18" t="s">
        <v>126</v>
      </c>
      <c r="I120" s="18" t="s">
        <v>126</v>
      </c>
      <c r="J120" s="18" t="s">
        <v>126</v>
      </c>
      <c r="K120" s="18"/>
      <c r="L120" s="18" t="s">
        <v>204</v>
      </c>
      <c r="M120" s="18"/>
      <c r="N120" s="18" t="s">
        <v>283</v>
      </c>
    </row>
    <row r="121" customFormat="false" ht="15" hidden="false" customHeight="false" outlineLevel="0" collapsed="false">
      <c r="A121" s="18" t="s">
        <v>120</v>
      </c>
      <c r="B121" s="18" t="s">
        <v>418</v>
      </c>
      <c r="C121" s="18" t="s">
        <v>122</v>
      </c>
      <c r="D121" s="18" t="s">
        <v>129</v>
      </c>
      <c r="E121" s="18" t="s">
        <v>419</v>
      </c>
      <c r="F121" s="19" t="n">
        <v>45716</v>
      </c>
      <c r="G121" s="18" t="s">
        <v>203</v>
      </c>
      <c r="H121" s="18" t="s">
        <v>165</v>
      </c>
      <c r="I121" s="18" t="s">
        <v>126</v>
      </c>
      <c r="J121" s="18" t="s">
        <v>126</v>
      </c>
      <c r="K121" s="18"/>
      <c r="L121" s="18" t="s">
        <v>204</v>
      </c>
      <c r="M121" s="18"/>
      <c r="N121" s="18" t="s">
        <v>283</v>
      </c>
    </row>
    <row r="122" customFormat="false" ht="15" hidden="false" customHeight="false" outlineLevel="0" collapsed="false">
      <c r="A122" s="18" t="s">
        <v>120</v>
      </c>
      <c r="B122" s="18" t="s">
        <v>420</v>
      </c>
      <c r="C122" s="18" t="s">
        <v>122</v>
      </c>
      <c r="D122" s="18" t="s">
        <v>129</v>
      </c>
      <c r="E122" s="18" t="s">
        <v>421</v>
      </c>
      <c r="F122" s="19" t="n">
        <v>45716</v>
      </c>
      <c r="G122" s="18" t="s">
        <v>125</v>
      </c>
      <c r="H122" s="18" t="s">
        <v>126</v>
      </c>
      <c r="I122" s="18" t="s">
        <v>126</v>
      </c>
      <c r="J122" s="18" t="s">
        <v>126</v>
      </c>
      <c r="K122" s="18"/>
      <c r="L122" s="18" t="s">
        <v>45</v>
      </c>
      <c r="M122" s="21" t="s">
        <v>15</v>
      </c>
      <c r="N122" s="18" t="s">
        <v>422</v>
      </c>
    </row>
    <row r="123" customFormat="false" ht="15" hidden="false" customHeight="false" outlineLevel="0" collapsed="false">
      <c r="A123" s="18" t="s">
        <v>120</v>
      </c>
      <c r="B123" s="18" t="s">
        <v>423</v>
      </c>
      <c r="C123" s="18" t="s">
        <v>122</v>
      </c>
      <c r="D123" s="18" t="s">
        <v>312</v>
      </c>
      <c r="E123" s="18" t="s">
        <v>424</v>
      </c>
      <c r="F123" s="19" t="n">
        <v>45722</v>
      </c>
      <c r="G123" s="18" t="s">
        <v>203</v>
      </c>
      <c r="H123" s="18" t="s">
        <v>165</v>
      </c>
      <c r="I123" s="18" t="s">
        <v>126</v>
      </c>
      <c r="J123" s="18" t="s">
        <v>126</v>
      </c>
      <c r="K123" s="18"/>
      <c r="L123" s="18" t="s">
        <v>52</v>
      </c>
      <c r="M123" s="22" t="s">
        <v>50</v>
      </c>
      <c r="N123" s="18" t="s">
        <v>178</v>
      </c>
    </row>
    <row r="124" customFormat="false" ht="15" hidden="false" customHeight="false" outlineLevel="0" collapsed="false">
      <c r="A124" s="18" t="s">
        <v>120</v>
      </c>
      <c r="B124" s="18" t="s">
        <v>425</v>
      </c>
      <c r="C124" s="18" t="s">
        <v>122</v>
      </c>
      <c r="D124" s="18" t="s">
        <v>312</v>
      </c>
      <c r="E124" s="18" t="s">
        <v>426</v>
      </c>
      <c r="F124" s="19" t="n">
        <v>45722</v>
      </c>
      <c r="G124" s="18" t="s">
        <v>203</v>
      </c>
      <c r="H124" s="18" t="s">
        <v>165</v>
      </c>
      <c r="I124" s="18" t="s">
        <v>126</v>
      </c>
      <c r="J124" s="18" t="s">
        <v>126</v>
      </c>
      <c r="K124" s="18"/>
      <c r="L124" s="18" t="s">
        <v>52</v>
      </c>
      <c r="M124" s="22" t="s">
        <v>50</v>
      </c>
      <c r="N124" s="18" t="s">
        <v>178</v>
      </c>
    </row>
    <row r="125" customFormat="false" ht="15" hidden="false" customHeight="false" outlineLevel="0" collapsed="false">
      <c r="A125" s="18" t="s">
        <v>120</v>
      </c>
      <c r="B125" s="18" t="s">
        <v>427</v>
      </c>
      <c r="C125" s="18" t="s">
        <v>122</v>
      </c>
      <c r="D125" s="18" t="s">
        <v>312</v>
      </c>
      <c r="E125" s="18" t="s">
        <v>428</v>
      </c>
      <c r="F125" s="19" t="n">
        <v>45722</v>
      </c>
      <c r="G125" s="18" t="s">
        <v>203</v>
      </c>
      <c r="H125" s="18" t="s">
        <v>165</v>
      </c>
      <c r="I125" s="18" t="s">
        <v>126</v>
      </c>
      <c r="J125" s="18" t="s">
        <v>126</v>
      </c>
      <c r="K125" s="18"/>
      <c r="L125" s="18" t="s">
        <v>52</v>
      </c>
      <c r="M125" s="22" t="s">
        <v>50</v>
      </c>
      <c r="N125" s="18" t="s">
        <v>178</v>
      </c>
    </row>
    <row r="126" customFormat="false" ht="15" hidden="false" customHeight="false" outlineLevel="0" collapsed="false">
      <c r="A126" s="18" t="s">
        <v>120</v>
      </c>
      <c r="B126" s="18" t="s">
        <v>429</v>
      </c>
      <c r="C126" s="18" t="s">
        <v>122</v>
      </c>
      <c r="D126" s="18" t="s">
        <v>232</v>
      </c>
      <c r="E126" s="18" t="s">
        <v>219</v>
      </c>
      <c r="F126" s="19" t="n">
        <v>45722</v>
      </c>
      <c r="G126" s="18" t="s">
        <v>358</v>
      </c>
      <c r="H126" s="18" t="s">
        <v>126</v>
      </c>
      <c r="I126" s="18" t="s">
        <v>126</v>
      </c>
      <c r="J126" s="18" t="s">
        <v>126</v>
      </c>
      <c r="K126" s="18"/>
      <c r="L126" s="18" t="s">
        <v>204</v>
      </c>
      <c r="M126" s="18"/>
      <c r="N126" s="18" t="s">
        <v>220</v>
      </c>
    </row>
    <row r="127" customFormat="false" ht="15" hidden="false" customHeight="false" outlineLevel="0" collapsed="false">
      <c r="A127" s="18" t="s">
        <v>120</v>
      </c>
      <c r="B127" s="18" t="s">
        <v>430</v>
      </c>
      <c r="C127" s="18" t="s">
        <v>194</v>
      </c>
      <c r="D127" s="18"/>
      <c r="E127" s="18" t="s">
        <v>431</v>
      </c>
      <c r="F127" s="19" t="n">
        <v>45722</v>
      </c>
      <c r="G127" s="18" t="s">
        <v>208</v>
      </c>
      <c r="H127" s="18" t="s">
        <v>126</v>
      </c>
      <c r="I127" s="18" t="s">
        <v>126</v>
      </c>
      <c r="J127" s="18" t="s">
        <v>165</v>
      </c>
      <c r="K127" s="18" t="s">
        <v>209</v>
      </c>
      <c r="L127" s="18" t="s">
        <v>273</v>
      </c>
      <c r="M127" s="18"/>
      <c r="N127" s="18" t="s">
        <v>274</v>
      </c>
    </row>
    <row r="128" customFormat="false" ht="15" hidden="false" customHeight="false" outlineLevel="0" collapsed="false">
      <c r="A128" s="18" t="s">
        <v>120</v>
      </c>
      <c r="B128" s="18" t="s">
        <v>432</v>
      </c>
      <c r="C128" s="18" t="s">
        <v>122</v>
      </c>
      <c r="D128" s="18" t="s">
        <v>431</v>
      </c>
      <c r="E128" s="18" t="s">
        <v>433</v>
      </c>
      <c r="F128" s="19" t="n">
        <v>45722</v>
      </c>
      <c r="G128" s="18" t="s">
        <v>125</v>
      </c>
      <c r="H128" s="18" t="s">
        <v>126</v>
      </c>
      <c r="I128" s="18" t="s">
        <v>126</v>
      </c>
      <c r="J128" s="18" t="s">
        <v>126</v>
      </c>
      <c r="K128" s="18"/>
      <c r="L128" s="18" t="s">
        <v>52</v>
      </c>
      <c r="M128" s="22" t="s">
        <v>50</v>
      </c>
      <c r="N128" s="18" t="s">
        <v>178</v>
      </c>
    </row>
    <row r="129" customFormat="false" ht="15" hidden="false" customHeight="false" outlineLevel="0" collapsed="false">
      <c r="A129" s="18" t="s">
        <v>120</v>
      </c>
      <c r="B129" s="18" t="s">
        <v>434</v>
      </c>
      <c r="C129" s="18" t="s">
        <v>194</v>
      </c>
      <c r="D129" s="18"/>
      <c r="E129" s="18" t="s">
        <v>435</v>
      </c>
      <c r="F129" s="19" t="n">
        <v>45723</v>
      </c>
      <c r="G129" s="18" t="s">
        <v>208</v>
      </c>
      <c r="H129" s="18" t="s">
        <v>126</v>
      </c>
      <c r="I129" s="18" t="s">
        <v>126</v>
      </c>
      <c r="J129" s="18" t="s">
        <v>126</v>
      </c>
      <c r="K129" s="18"/>
      <c r="L129" s="18" t="s">
        <v>171</v>
      </c>
      <c r="M129" s="18"/>
      <c r="N129" s="18" t="s">
        <v>172</v>
      </c>
    </row>
    <row r="130" customFormat="false" ht="15" hidden="false" customHeight="false" outlineLevel="0" collapsed="false">
      <c r="A130" s="18" t="s">
        <v>120</v>
      </c>
      <c r="B130" s="18" t="s">
        <v>436</v>
      </c>
      <c r="C130" s="18" t="s">
        <v>194</v>
      </c>
      <c r="D130" s="18"/>
      <c r="E130" s="18" t="s">
        <v>276</v>
      </c>
      <c r="F130" s="19" t="n">
        <v>45725</v>
      </c>
      <c r="G130" s="18" t="s">
        <v>208</v>
      </c>
      <c r="H130" s="18" t="s">
        <v>126</v>
      </c>
      <c r="I130" s="18" t="s">
        <v>126</v>
      </c>
      <c r="J130" s="18" t="s">
        <v>165</v>
      </c>
      <c r="K130" s="18" t="s">
        <v>209</v>
      </c>
      <c r="L130" s="18" t="s">
        <v>273</v>
      </c>
      <c r="M130" s="18"/>
      <c r="N130" s="18" t="s">
        <v>274</v>
      </c>
    </row>
    <row r="131" customFormat="false" ht="15" hidden="false" customHeight="false" outlineLevel="0" collapsed="false">
      <c r="A131" s="18" t="s">
        <v>120</v>
      </c>
      <c r="B131" s="18" t="s">
        <v>437</v>
      </c>
      <c r="C131" s="18" t="s">
        <v>122</v>
      </c>
      <c r="D131" s="18" t="s">
        <v>276</v>
      </c>
      <c r="E131" s="18" t="s">
        <v>438</v>
      </c>
      <c r="F131" s="19" t="n">
        <v>45725</v>
      </c>
      <c r="G131" s="18" t="s">
        <v>196</v>
      </c>
      <c r="H131" s="18" t="s">
        <v>165</v>
      </c>
      <c r="I131" s="18" t="s">
        <v>165</v>
      </c>
      <c r="J131" s="18" t="s">
        <v>126</v>
      </c>
      <c r="K131" s="18"/>
      <c r="L131" s="18" t="s">
        <v>36</v>
      </c>
      <c r="M131" s="21" t="s">
        <v>15</v>
      </c>
      <c r="N131" s="18" t="s">
        <v>439</v>
      </c>
    </row>
    <row r="132" customFormat="false" ht="15" hidden="false" customHeight="false" outlineLevel="0" collapsed="false">
      <c r="A132" s="18" t="s">
        <v>120</v>
      </c>
      <c r="B132" s="18" t="s">
        <v>440</v>
      </c>
      <c r="C132" s="18" t="s">
        <v>122</v>
      </c>
      <c r="D132" s="18" t="s">
        <v>276</v>
      </c>
      <c r="E132" s="18" t="s">
        <v>441</v>
      </c>
      <c r="F132" s="19" t="n">
        <v>45725</v>
      </c>
      <c r="G132" s="18" t="s">
        <v>125</v>
      </c>
      <c r="H132" s="18" t="s">
        <v>126</v>
      </c>
      <c r="I132" s="18" t="s">
        <v>126</v>
      </c>
      <c r="J132" s="18" t="s">
        <v>126</v>
      </c>
      <c r="K132" s="18"/>
      <c r="L132" s="18" t="s">
        <v>36</v>
      </c>
      <c r="M132" s="21" t="s">
        <v>15</v>
      </c>
      <c r="N132" s="18" t="s">
        <v>439</v>
      </c>
    </row>
    <row r="133" customFormat="false" ht="15" hidden="false" customHeight="false" outlineLevel="0" collapsed="false">
      <c r="A133" s="18" t="s">
        <v>120</v>
      </c>
      <c r="B133" s="18" t="s">
        <v>442</v>
      </c>
      <c r="C133" s="18" t="s">
        <v>194</v>
      </c>
      <c r="D133" s="18"/>
      <c r="E133" s="18" t="s">
        <v>443</v>
      </c>
      <c r="F133" s="19" t="n">
        <v>45726</v>
      </c>
      <c r="G133" s="18" t="s">
        <v>208</v>
      </c>
      <c r="H133" s="18" t="s">
        <v>126</v>
      </c>
      <c r="I133" s="18" t="s">
        <v>126</v>
      </c>
      <c r="J133" s="18" t="s">
        <v>126</v>
      </c>
      <c r="K133" s="18"/>
      <c r="L133" s="18" t="s">
        <v>83</v>
      </c>
      <c r="M133" s="20" t="s">
        <v>12</v>
      </c>
      <c r="N133" s="18" t="s">
        <v>144</v>
      </c>
    </row>
    <row r="134" customFormat="false" ht="15" hidden="false" customHeight="false" outlineLevel="0" collapsed="false">
      <c r="A134" s="18" t="s">
        <v>120</v>
      </c>
      <c r="B134" s="18" t="s">
        <v>444</v>
      </c>
      <c r="C134" s="18" t="s">
        <v>194</v>
      </c>
      <c r="D134" s="18"/>
      <c r="E134" s="18" t="s">
        <v>445</v>
      </c>
      <c r="F134" s="19" t="n">
        <v>45728</v>
      </c>
      <c r="G134" s="18" t="s">
        <v>208</v>
      </c>
      <c r="H134" s="18" t="s">
        <v>126</v>
      </c>
      <c r="I134" s="18" t="s">
        <v>126</v>
      </c>
      <c r="J134" s="18" t="s">
        <v>126</v>
      </c>
      <c r="K134" s="18"/>
      <c r="L134" s="18" t="s">
        <v>204</v>
      </c>
      <c r="M134" s="18"/>
      <c r="N134" s="18" t="s">
        <v>220</v>
      </c>
    </row>
    <row r="135" customFormat="false" ht="15" hidden="false" customHeight="false" outlineLevel="0" collapsed="false">
      <c r="A135" s="18" t="s">
        <v>120</v>
      </c>
      <c r="B135" s="18" t="s">
        <v>446</v>
      </c>
      <c r="C135" s="18" t="s">
        <v>194</v>
      </c>
      <c r="D135" s="18"/>
      <c r="E135" s="18" t="s">
        <v>447</v>
      </c>
      <c r="F135" s="19" t="n">
        <v>45728</v>
      </c>
      <c r="G135" s="18" t="s">
        <v>208</v>
      </c>
      <c r="H135" s="18" t="s">
        <v>126</v>
      </c>
      <c r="I135" s="18" t="s">
        <v>126</v>
      </c>
      <c r="J135" s="18" t="s">
        <v>126</v>
      </c>
      <c r="K135" s="18"/>
      <c r="L135" s="18" t="s">
        <v>56</v>
      </c>
      <c r="M135" s="20" t="s">
        <v>12</v>
      </c>
      <c r="N135" s="18" t="s">
        <v>268</v>
      </c>
    </row>
    <row r="136" customFormat="false" ht="15" hidden="false" customHeight="false" outlineLevel="0" collapsed="false">
      <c r="A136" s="18" t="s">
        <v>120</v>
      </c>
      <c r="B136" s="18" t="s">
        <v>448</v>
      </c>
      <c r="C136" s="18" t="s">
        <v>122</v>
      </c>
      <c r="D136" s="18" t="s">
        <v>405</v>
      </c>
      <c r="E136" s="18" t="s">
        <v>280</v>
      </c>
      <c r="F136" s="19" t="n">
        <v>45728</v>
      </c>
      <c r="G136" s="18" t="s">
        <v>125</v>
      </c>
      <c r="H136" s="18" t="s">
        <v>126</v>
      </c>
      <c r="I136" s="18" t="s">
        <v>126</v>
      </c>
      <c r="J136" s="18" t="s">
        <v>126</v>
      </c>
      <c r="K136" s="18"/>
      <c r="L136" s="18" t="s">
        <v>54</v>
      </c>
      <c r="M136" s="22" t="s">
        <v>50</v>
      </c>
      <c r="N136" s="18" t="s">
        <v>278</v>
      </c>
    </row>
    <row r="137" customFormat="false" ht="15" hidden="false" customHeight="false" outlineLevel="0" collapsed="false">
      <c r="A137" s="18" t="s">
        <v>120</v>
      </c>
      <c r="B137" s="18" t="s">
        <v>449</v>
      </c>
      <c r="C137" s="18" t="s">
        <v>194</v>
      </c>
      <c r="D137" s="18"/>
      <c r="E137" s="18" t="s">
        <v>450</v>
      </c>
      <c r="F137" s="19" t="n">
        <v>45733</v>
      </c>
      <c r="G137" s="18" t="s">
        <v>208</v>
      </c>
      <c r="H137" s="18" t="s">
        <v>126</v>
      </c>
      <c r="I137" s="18" t="s">
        <v>126</v>
      </c>
      <c r="J137" s="18" t="s">
        <v>126</v>
      </c>
      <c r="K137" s="18"/>
      <c r="L137" s="18" t="s">
        <v>56</v>
      </c>
      <c r="M137" s="20" t="s">
        <v>12</v>
      </c>
      <c r="N137" s="18" t="s">
        <v>268</v>
      </c>
    </row>
    <row r="138" customFormat="false" ht="15" hidden="false" customHeight="false" outlineLevel="0" collapsed="false">
      <c r="A138" s="18" t="s">
        <v>120</v>
      </c>
      <c r="B138" s="18" t="s">
        <v>451</v>
      </c>
      <c r="C138" s="18" t="s">
        <v>122</v>
      </c>
      <c r="D138" s="18" t="s">
        <v>452</v>
      </c>
      <c r="E138" s="18" t="s">
        <v>453</v>
      </c>
      <c r="F138" s="19" t="n">
        <v>45733</v>
      </c>
      <c r="G138" s="18" t="s">
        <v>125</v>
      </c>
      <c r="H138" s="18" t="s">
        <v>126</v>
      </c>
      <c r="I138" s="18" t="s">
        <v>126</v>
      </c>
      <c r="J138" s="18" t="s">
        <v>126</v>
      </c>
      <c r="K138" s="18"/>
      <c r="L138" s="18" t="s">
        <v>11</v>
      </c>
      <c r="M138" s="20" t="s">
        <v>12</v>
      </c>
      <c r="N138" s="18" t="s">
        <v>181</v>
      </c>
    </row>
    <row r="139" customFormat="false" ht="15" hidden="false" customHeight="false" outlineLevel="0" collapsed="false">
      <c r="A139" s="18" t="s">
        <v>120</v>
      </c>
      <c r="B139" s="18" t="s">
        <v>454</v>
      </c>
      <c r="C139" s="18" t="s">
        <v>194</v>
      </c>
      <c r="D139" s="18"/>
      <c r="E139" s="18" t="s">
        <v>285</v>
      </c>
      <c r="F139" s="19" t="n">
        <v>45733</v>
      </c>
      <c r="G139" s="18" t="s">
        <v>208</v>
      </c>
      <c r="H139" s="18" t="s">
        <v>126</v>
      </c>
      <c r="I139" s="18" t="s">
        <v>126</v>
      </c>
      <c r="J139" s="18" t="s">
        <v>126</v>
      </c>
      <c r="K139" s="18"/>
      <c r="L139" s="18" t="s">
        <v>171</v>
      </c>
      <c r="M139" s="18"/>
      <c r="N139" s="18" t="s">
        <v>172</v>
      </c>
    </row>
    <row r="140" customFormat="false" ht="15" hidden="false" customHeight="false" outlineLevel="0" collapsed="false">
      <c r="A140" s="18" t="s">
        <v>120</v>
      </c>
      <c r="B140" s="18" t="s">
        <v>455</v>
      </c>
      <c r="C140" s="18" t="s">
        <v>122</v>
      </c>
      <c r="D140" s="18" t="s">
        <v>285</v>
      </c>
      <c r="E140" s="18" t="s">
        <v>456</v>
      </c>
      <c r="F140" s="19" t="n">
        <v>45733</v>
      </c>
      <c r="G140" s="18" t="s">
        <v>457</v>
      </c>
      <c r="H140" s="18" t="s">
        <v>126</v>
      </c>
      <c r="I140" s="18" t="s">
        <v>126</v>
      </c>
      <c r="J140" s="18" t="s">
        <v>126</v>
      </c>
      <c r="K140" s="18"/>
      <c r="L140" s="18" t="s">
        <v>204</v>
      </c>
      <c r="M140" s="18"/>
      <c r="N140" s="18" t="s">
        <v>220</v>
      </c>
    </row>
    <row r="141" customFormat="false" ht="15" hidden="false" customHeight="false" outlineLevel="0" collapsed="false">
      <c r="A141" s="18" t="s">
        <v>120</v>
      </c>
      <c r="B141" s="18" t="s">
        <v>458</v>
      </c>
      <c r="C141" s="18" t="s">
        <v>194</v>
      </c>
      <c r="D141" s="18"/>
      <c r="E141" s="18" t="s">
        <v>459</v>
      </c>
      <c r="F141" s="19" t="n">
        <v>45733.4583333333</v>
      </c>
      <c r="G141" s="18" t="s">
        <v>208</v>
      </c>
      <c r="H141" s="18" t="s">
        <v>126</v>
      </c>
      <c r="I141" s="18" t="s">
        <v>126</v>
      </c>
      <c r="J141" s="18" t="s">
        <v>126</v>
      </c>
      <c r="K141" s="18"/>
      <c r="L141" s="18" t="s">
        <v>49</v>
      </c>
      <c r="M141" s="22" t="s">
        <v>50</v>
      </c>
      <c r="N141" s="18" t="s">
        <v>230</v>
      </c>
    </row>
    <row r="142" customFormat="false" ht="15" hidden="false" customHeight="false" outlineLevel="0" collapsed="false">
      <c r="A142" s="18" t="s">
        <v>120</v>
      </c>
      <c r="B142" s="18" t="s">
        <v>460</v>
      </c>
      <c r="C142" s="18" t="s">
        <v>194</v>
      </c>
      <c r="D142" s="18"/>
      <c r="E142" s="18" t="s">
        <v>452</v>
      </c>
      <c r="F142" s="19" t="n">
        <v>45734</v>
      </c>
      <c r="G142" s="18" t="s">
        <v>208</v>
      </c>
      <c r="H142" s="18" t="s">
        <v>126</v>
      </c>
      <c r="I142" s="18" t="s">
        <v>126</v>
      </c>
      <c r="J142" s="18" t="s">
        <v>165</v>
      </c>
      <c r="K142" s="18" t="s">
        <v>209</v>
      </c>
      <c r="L142" s="18" t="s">
        <v>273</v>
      </c>
      <c r="M142" s="18"/>
      <c r="N142" s="18" t="s">
        <v>274</v>
      </c>
    </row>
    <row r="143" customFormat="false" ht="15" hidden="false" customHeight="false" outlineLevel="0" collapsed="false">
      <c r="A143" s="18" t="s">
        <v>120</v>
      </c>
      <c r="B143" s="18" t="s">
        <v>461</v>
      </c>
      <c r="C143" s="18" t="s">
        <v>122</v>
      </c>
      <c r="D143" s="18" t="s">
        <v>452</v>
      </c>
      <c r="E143" s="18" t="s">
        <v>462</v>
      </c>
      <c r="F143" s="19" t="n">
        <v>45734</v>
      </c>
      <c r="G143" s="18" t="s">
        <v>463</v>
      </c>
      <c r="H143" s="18" t="s">
        <v>165</v>
      </c>
      <c r="I143" s="18" t="s">
        <v>126</v>
      </c>
      <c r="J143" s="18" t="s">
        <v>126</v>
      </c>
      <c r="K143" s="18"/>
      <c r="L143" s="18" t="s">
        <v>34</v>
      </c>
      <c r="M143" s="20" t="s">
        <v>12</v>
      </c>
      <c r="N143" s="18" t="s">
        <v>34</v>
      </c>
    </row>
    <row r="144" customFormat="false" ht="15" hidden="false" customHeight="false" outlineLevel="0" collapsed="false">
      <c r="A144" s="18" t="s">
        <v>120</v>
      </c>
      <c r="B144" s="18" t="s">
        <v>464</v>
      </c>
      <c r="C144" s="18" t="s">
        <v>122</v>
      </c>
      <c r="D144" s="18" t="s">
        <v>452</v>
      </c>
      <c r="E144" s="18" t="s">
        <v>465</v>
      </c>
      <c r="F144" s="19" t="n">
        <v>45734</v>
      </c>
      <c r="G144" s="18" t="s">
        <v>463</v>
      </c>
      <c r="H144" s="18" t="s">
        <v>165</v>
      </c>
      <c r="I144" s="18" t="s">
        <v>126</v>
      </c>
      <c r="J144" s="18" t="s">
        <v>126</v>
      </c>
      <c r="K144" s="18"/>
      <c r="L144" s="18" t="s">
        <v>28</v>
      </c>
      <c r="M144" s="20" t="s">
        <v>12</v>
      </c>
      <c r="N144" s="18" t="s">
        <v>127</v>
      </c>
    </row>
    <row r="145" customFormat="false" ht="15" hidden="false" customHeight="false" outlineLevel="0" collapsed="false">
      <c r="A145" s="18" t="s">
        <v>120</v>
      </c>
      <c r="B145" s="18" t="s">
        <v>466</v>
      </c>
      <c r="C145" s="18" t="s">
        <v>122</v>
      </c>
      <c r="D145" s="18" t="s">
        <v>452</v>
      </c>
      <c r="E145" s="18" t="s">
        <v>467</v>
      </c>
      <c r="F145" s="19" t="n">
        <v>45734</v>
      </c>
      <c r="G145" s="18" t="s">
        <v>125</v>
      </c>
      <c r="H145" s="18" t="s">
        <v>126</v>
      </c>
      <c r="I145" s="18" t="s">
        <v>126</v>
      </c>
      <c r="J145" s="18" t="s">
        <v>126</v>
      </c>
      <c r="K145" s="18"/>
      <c r="L145" s="18" t="s">
        <v>26</v>
      </c>
      <c r="M145" s="20" t="s">
        <v>12</v>
      </c>
      <c r="N145" s="18" t="s">
        <v>135</v>
      </c>
    </row>
    <row r="146" customFormat="false" ht="15" hidden="false" customHeight="false" outlineLevel="0" collapsed="false">
      <c r="A146" s="18" t="s">
        <v>120</v>
      </c>
      <c r="B146" s="18" t="s">
        <v>468</v>
      </c>
      <c r="C146" s="18" t="s">
        <v>122</v>
      </c>
      <c r="D146" s="18" t="s">
        <v>452</v>
      </c>
      <c r="E146" s="18" t="s">
        <v>146</v>
      </c>
      <c r="F146" s="19" t="n">
        <v>45734</v>
      </c>
      <c r="G146" s="18" t="s">
        <v>125</v>
      </c>
      <c r="H146" s="18" t="s">
        <v>126</v>
      </c>
      <c r="I146" s="18" t="s">
        <v>126</v>
      </c>
      <c r="J146" s="18" t="s">
        <v>126</v>
      </c>
      <c r="K146" s="18"/>
      <c r="L146" s="18" t="s">
        <v>11</v>
      </c>
      <c r="M146" s="20" t="s">
        <v>12</v>
      </c>
      <c r="N146" s="18" t="s">
        <v>147</v>
      </c>
    </row>
    <row r="147" customFormat="false" ht="15" hidden="false" customHeight="false" outlineLevel="0" collapsed="false">
      <c r="A147" s="18" t="s">
        <v>120</v>
      </c>
      <c r="B147" s="18" t="s">
        <v>469</v>
      </c>
      <c r="C147" s="18" t="s">
        <v>122</v>
      </c>
      <c r="D147" s="18" t="s">
        <v>452</v>
      </c>
      <c r="E147" s="18" t="s">
        <v>215</v>
      </c>
      <c r="F147" s="19" t="n">
        <v>45734</v>
      </c>
      <c r="G147" s="18" t="s">
        <v>125</v>
      </c>
      <c r="H147" s="18" t="s">
        <v>126</v>
      </c>
      <c r="I147" s="18" t="s">
        <v>126</v>
      </c>
      <c r="J147" s="18" t="s">
        <v>126</v>
      </c>
      <c r="K147" s="18"/>
      <c r="L147" s="18" t="s">
        <v>11</v>
      </c>
      <c r="M147" s="20" t="s">
        <v>12</v>
      </c>
      <c r="N147" s="18" t="s">
        <v>147</v>
      </c>
    </row>
    <row r="148" customFormat="false" ht="15" hidden="false" customHeight="false" outlineLevel="0" collapsed="false">
      <c r="A148" s="18" t="s">
        <v>120</v>
      </c>
      <c r="B148" s="18" t="s">
        <v>470</v>
      </c>
      <c r="C148" s="18" t="s">
        <v>194</v>
      </c>
      <c r="D148" s="18"/>
      <c r="E148" s="18" t="s">
        <v>471</v>
      </c>
      <c r="F148" s="19" t="n">
        <v>45735</v>
      </c>
      <c r="G148" s="18" t="s">
        <v>208</v>
      </c>
      <c r="H148" s="18" t="s">
        <v>126</v>
      </c>
      <c r="I148" s="18" t="s">
        <v>126</v>
      </c>
      <c r="J148" s="18" t="s">
        <v>126</v>
      </c>
      <c r="K148" s="18"/>
      <c r="L148" s="18" t="s">
        <v>11</v>
      </c>
      <c r="M148" s="20" t="s">
        <v>12</v>
      </c>
      <c r="N148" s="18" t="s">
        <v>147</v>
      </c>
    </row>
    <row r="149" customFormat="false" ht="15" hidden="false" customHeight="false" outlineLevel="0" collapsed="false">
      <c r="A149" s="18" t="s">
        <v>120</v>
      </c>
      <c r="B149" s="18" t="s">
        <v>472</v>
      </c>
      <c r="C149" s="18" t="s">
        <v>122</v>
      </c>
      <c r="D149" s="18" t="s">
        <v>369</v>
      </c>
      <c r="E149" s="18" t="s">
        <v>473</v>
      </c>
      <c r="F149" s="19" t="n">
        <v>45735</v>
      </c>
      <c r="G149" s="18" t="s">
        <v>125</v>
      </c>
      <c r="H149" s="18" t="s">
        <v>126</v>
      </c>
      <c r="I149" s="18" t="s">
        <v>126</v>
      </c>
      <c r="J149" s="18" t="s">
        <v>126</v>
      </c>
      <c r="K149" s="18"/>
      <c r="L149" s="18" t="s">
        <v>34</v>
      </c>
      <c r="M149" s="20" t="s">
        <v>12</v>
      </c>
      <c r="N149" s="18" t="s">
        <v>34</v>
      </c>
    </row>
    <row r="150" customFormat="false" ht="15" hidden="false" customHeight="false" outlineLevel="0" collapsed="false">
      <c r="A150" s="18" t="s">
        <v>120</v>
      </c>
      <c r="B150" s="18" t="s">
        <v>474</v>
      </c>
      <c r="C150" s="18" t="s">
        <v>194</v>
      </c>
      <c r="D150" s="18"/>
      <c r="E150" s="18" t="s">
        <v>475</v>
      </c>
      <c r="F150" s="19" t="n">
        <v>45736</v>
      </c>
      <c r="G150" s="18" t="s">
        <v>208</v>
      </c>
      <c r="H150" s="18" t="s">
        <v>126</v>
      </c>
      <c r="I150" s="18" t="s">
        <v>126</v>
      </c>
      <c r="J150" s="18" t="s">
        <v>126</v>
      </c>
      <c r="K150" s="18"/>
      <c r="L150" s="18" t="s">
        <v>171</v>
      </c>
      <c r="M150" s="18"/>
      <c r="N150" s="18" t="s">
        <v>172</v>
      </c>
    </row>
    <row r="151" customFormat="false" ht="15" hidden="false" customHeight="false" outlineLevel="0" collapsed="false">
      <c r="A151" s="18" t="s">
        <v>120</v>
      </c>
      <c r="B151" s="18" t="s">
        <v>476</v>
      </c>
      <c r="C151" s="18" t="s">
        <v>194</v>
      </c>
      <c r="D151" s="18"/>
      <c r="E151" s="18" t="s">
        <v>297</v>
      </c>
      <c r="F151" s="19" t="n">
        <v>45740.375</v>
      </c>
      <c r="G151" s="18" t="s">
        <v>208</v>
      </c>
      <c r="H151" s="18" t="s">
        <v>126</v>
      </c>
      <c r="I151" s="18" t="s">
        <v>126</v>
      </c>
      <c r="J151" s="18" t="s">
        <v>165</v>
      </c>
      <c r="K151" s="18" t="s">
        <v>209</v>
      </c>
      <c r="L151" s="18" t="s">
        <v>273</v>
      </c>
      <c r="M151" s="18"/>
      <c r="N151" s="18" t="s">
        <v>274</v>
      </c>
    </row>
    <row r="152" customFormat="false" ht="15" hidden="false" customHeight="false" outlineLevel="0" collapsed="false">
      <c r="A152" s="18" t="s">
        <v>120</v>
      </c>
      <c r="B152" s="18" t="s">
        <v>477</v>
      </c>
      <c r="C152" s="18" t="s">
        <v>122</v>
      </c>
      <c r="D152" s="18" t="s">
        <v>297</v>
      </c>
      <c r="E152" s="18" t="s">
        <v>350</v>
      </c>
      <c r="F152" s="19" t="n">
        <v>45740.375</v>
      </c>
      <c r="G152" s="18" t="s">
        <v>125</v>
      </c>
      <c r="H152" s="18" t="s">
        <v>126</v>
      </c>
      <c r="I152" s="18" t="s">
        <v>126</v>
      </c>
      <c r="J152" s="18" t="s">
        <v>126</v>
      </c>
      <c r="K152" s="18"/>
      <c r="L152" s="18" t="s">
        <v>34</v>
      </c>
      <c r="M152" s="20" t="s">
        <v>12</v>
      </c>
      <c r="N152" s="18" t="s">
        <v>34</v>
      </c>
    </row>
    <row r="153" customFormat="false" ht="15" hidden="false" customHeight="false" outlineLevel="0" collapsed="false">
      <c r="A153" s="18" t="s">
        <v>120</v>
      </c>
      <c r="B153" s="18" t="s">
        <v>478</v>
      </c>
      <c r="C153" s="18" t="s">
        <v>122</v>
      </c>
      <c r="D153" s="18" t="s">
        <v>297</v>
      </c>
      <c r="E153" s="18" t="s">
        <v>479</v>
      </c>
      <c r="F153" s="19" t="n">
        <v>45740.375</v>
      </c>
      <c r="G153" s="18" t="s">
        <v>125</v>
      </c>
      <c r="H153" s="18" t="s">
        <v>126</v>
      </c>
      <c r="I153" s="18" t="s">
        <v>126</v>
      </c>
      <c r="J153" s="18" t="s">
        <v>126</v>
      </c>
      <c r="K153" s="18"/>
      <c r="L153" s="18" t="s">
        <v>204</v>
      </c>
      <c r="M153" s="18"/>
      <c r="N153" s="18" t="s">
        <v>220</v>
      </c>
    </row>
    <row r="154" customFormat="false" ht="15" hidden="false" customHeight="false" outlineLevel="0" collapsed="false">
      <c r="A154" s="18" t="s">
        <v>120</v>
      </c>
      <c r="B154" s="18" t="s">
        <v>480</v>
      </c>
      <c r="C154" s="18" t="s">
        <v>122</v>
      </c>
      <c r="D154" s="18" t="s">
        <v>297</v>
      </c>
      <c r="E154" s="18" t="s">
        <v>481</v>
      </c>
      <c r="F154" s="19" t="n">
        <v>45740.375</v>
      </c>
      <c r="G154" s="18" t="s">
        <v>125</v>
      </c>
      <c r="H154" s="18" t="s">
        <v>126</v>
      </c>
      <c r="I154" s="18" t="s">
        <v>126</v>
      </c>
      <c r="J154" s="18" t="s">
        <v>126</v>
      </c>
      <c r="K154" s="18"/>
      <c r="L154" s="18" t="s">
        <v>204</v>
      </c>
      <c r="M154" s="18"/>
      <c r="N154" s="18" t="s">
        <v>220</v>
      </c>
    </row>
    <row r="155" customFormat="false" ht="15" hidden="false" customHeight="false" outlineLevel="0" collapsed="false">
      <c r="A155" s="18" t="s">
        <v>120</v>
      </c>
      <c r="B155" s="18" t="s">
        <v>482</v>
      </c>
      <c r="C155" s="18" t="s">
        <v>122</v>
      </c>
      <c r="D155" s="18" t="s">
        <v>297</v>
      </c>
      <c r="E155" s="18" t="s">
        <v>483</v>
      </c>
      <c r="F155" s="19" t="n">
        <v>45740.375</v>
      </c>
      <c r="G155" s="18" t="s">
        <v>125</v>
      </c>
      <c r="H155" s="18" t="s">
        <v>126</v>
      </c>
      <c r="I155" s="18" t="s">
        <v>126</v>
      </c>
      <c r="J155" s="18" t="s">
        <v>126</v>
      </c>
      <c r="K155" s="18"/>
      <c r="L155" s="18" t="s">
        <v>204</v>
      </c>
      <c r="M155" s="18"/>
      <c r="N155" s="18" t="s">
        <v>220</v>
      </c>
    </row>
    <row r="156" customFormat="false" ht="15" hidden="false" customHeight="false" outlineLevel="0" collapsed="false">
      <c r="A156" s="18" t="s">
        <v>120</v>
      </c>
      <c r="B156" s="18" t="s">
        <v>484</v>
      </c>
      <c r="C156" s="18" t="s">
        <v>122</v>
      </c>
      <c r="D156" s="18" t="s">
        <v>297</v>
      </c>
      <c r="E156" s="18" t="s">
        <v>485</v>
      </c>
      <c r="F156" s="19" t="n">
        <v>45740.375</v>
      </c>
      <c r="G156" s="18" t="s">
        <v>457</v>
      </c>
      <c r="H156" s="18" t="s">
        <v>126</v>
      </c>
      <c r="I156" s="18" t="s">
        <v>126</v>
      </c>
      <c r="J156" s="18" t="s">
        <v>126</v>
      </c>
      <c r="K156" s="18"/>
      <c r="L156" s="18" t="s">
        <v>204</v>
      </c>
      <c r="M156" s="18"/>
      <c r="N156" s="18" t="s">
        <v>220</v>
      </c>
    </row>
    <row r="157" customFormat="false" ht="15" hidden="false" customHeight="false" outlineLevel="0" collapsed="false">
      <c r="A157" s="18" t="s">
        <v>120</v>
      </c>
      <c r="B157" s="18" t="s">
        <v>486</v>
      </c>
      <c r="C157" s="18" t="s">
        <v>194</v>
      </c>
      <c r="D157" s="18"/>
      <c r="E157" s="18" t="s">
        <v>487</v>
      </c>
      <c r="F157" s="19" t="n">
        <v>45743</v>
      </c>
      <c r="G157" s="18" t="s">
        <v>266</v>
      </c>
      <c r="H157" s="18" t="s">
        <v>165</v>
      </c>
      <c r="I157" s="18" t="s">
        <v>165</v>
      </c>
      <c r="J157" s="18" t="s">
        <v>126</v>
      </c>
      <c r="K157" s="18"/>
      <c r="L157" s="18" t="s">
        <v>72</v>
      </c>
      <c r="M157" s="20" t="s">
        <v>12</v>
      </c>
      <c r="N157" s="18" t="s">
        <v>150</v>
      </c>
    </row>
    <row r="158" customFormat="false" ht="15" hidden="false" customHeight="false" outlineLevel="0" collapsed="false">
      <c r="A158" s="18" t="s">
        <v>120</v>
      </c>
      <c r="B158" s="18" t="s">
        <v>488</v>
      </c>
      <c r="C158" s="18" t="s">
        <v>122</v>
      </c>
      <c r="D158" s="18" t="s">
        <v>369</v>
      </c>
      <c r="E158" s="18" t="s">
        <v>489</v>
      </c>
      <c r="F158" s="19" t="n">
        <v>45743</v>
      </c>
      <c r="G158" s="18" t="s">
        <v>203</v>
      </c>
      <c r="H158" s="18" t="s">
        <v>165</v>
      </c>
      <c r="I158" s="18" t="s">
        <v>126</v>
      </c>
      <c r="J158" s="18" t="s">
        <v>126</v>
      </c>
      <c r="K158" s="18"/>
      <c r="L158" s="18" t="s">
        <v>52</v>
      </c>
      <c r="M158" s="22" t="s">
        <v>50</v>
      </c>
      <c r="N158" s="18" t="s">
        <v>178</v>
      </c>
    </row>
    <row r="159" customFormat="false" ht="15" hidden="false" customHeight="false" outlineLevel="0" collapsed="false">
      <c r="A159" s="18" t="s">
        <v>120</v>
      </c>
      <c r="B159" s="18" t="s">
        <v>490</v>
      </c>
      <c r="C159" s="18" t="s">
        <v>122</v>
      </c>
      <c r="D159" s="18" t="s">
        <v>491</v>
      </c>
      <c r="E159" s="18" t="s">
        <v>492</v>
      </c>
      <c r="F159" s="19" t="n">
        <v>45743</v>
      </c>
      <c r="G159" s="18" t="s">
        <v>125</v>
      </c>
      <c r="H159" s="18" t="s">
        <v>126</v>
      </c>
      <c r="I159" s="18" t="s">
        <v>126</v>
      </c>
      <c r="J159" s="18" t="s">
        <v>126</v>
      </c>
      <c r="K159" s="18"/>
      <c r="L159" s="18" t="s">
        <v>28</v>
      </c>
      <c r="M159" s="20" t="s">
        <v>12</v>
      </c>
      <c r="N159" s="18" t="s">
        <v>492</v>
      </c>
    </row>
    <row r="160" customFormat="false" ht="15" hidden="false" customHeight="false" outlineLevel="0" collapsed="false">
      <c r="A160" s="18" t="s">
        <v>120</v>
      </c>
      <c r="B160" s="18" t="s">
        <v>493</v>
      </c>
      <c r="C160" s="18" t="s">
        <v>194</v>
      </c>
      <c r="D160" s="18"/>
      <c r="E160" s="18" t="s">
        <v>494</v>
      </c>
      <c r="F160" s="19" t="n">
        <v>45744</v>
      </c>
      <c r="G160" s="18" t="s">
        <v>208</v>
      </c>
      <c r="H160" s="18" t="s">
        <v>126</v>
      </c>
      <c r="I160" s="18" t="s">
        <v>126</v>
      </c>
      <c r="J160" s="18" t="s">
        <v>126</v>
      </c>
      <c r="K160" s="18"/>
      <c r="L160" s="18" t="s">
        <v>42</v>
      </c>
      <c r="M160" s="22" t="s">
        <v>50</v>
      </c>
      <c r="N160" s="18" t="s">
        <v>305</v>
      </c>
    </row>
    <row r="161" customFormat="false" ht="15" hidden="false" customHeight="false" outlineLevel="0" collapsed="false">
      <c r="A161" s="18" t="s">
        <v>120</v>
      </c>
      <c r="B161" s="18" t="s">
        <v>495</v>
      </c>
      <c r="C161" s="18" t="s">
        <v>194</v>
      </c>
      <c r="D161" s="18"/>
      <c r="E161" s="18" t="s">
        <v>496</v>
      </c>
      <c r="F161" s="19" t="n">
        <v>45747</v>
      </c>
      <c r="G161" s="18" t="s">
        <v>208</v>
      </c>
      <c r="H161" s="18" t="s">
        <v>126</v>
      </c>
      <c r="I161" s="18" t="s">
        <v>126</v>
      </c>
      <c r="J161" s="18" t="s">
        <v>126</v>
      </c>
      <c r="K161" s="18"/>
      <c r="L161" s="18" t="s">
        <v>171</v>
      </c>
      <c r="M161" s="18"/>
      <c r="N161" s="18" t="s">
        <v>172</v>
      </c>
    </row>
    <row r="162" customFormat="false" ht="15" hidden="false" customHeight="false" outlineLevel="0" collapsed="false">
      <c r="A162" s="18" t="s">
        <v>120</v>
      </c>
      <c r="B162" s="18" t="s">
        <v>497</v>
      </c>
      <c r="C162" s="18" t="s">
        <v>194</v>
      </c>
      <c r="D162" s="18"/>
      <c r="E162" s="18" t="s">
        <v>498</v>
      </c>
      <c r="F162" s="19" t="n">
        <v>45747</v>
      </c>
      <c r="G162" s="18" t="s">
        <v>208</v>
      </c>
      <c r="H162" s="18" t="s">
        <v>126</v>
      </c>
      <c r="I162" s="18" t="s">
        <v>126</v>
      </c>
      <c r="J162" s="18" t="s">
        <v>126</v>
      </c>
      <c r="K162" s="18"/>
      <c r="L162" s="18" t="s">
        <v>210</v>
      </c>
      <c r="M162" s="18"/>
      <c r="N162" s="18" t="s">
        <v>211</v>
      </c>
    </row>
    <row r="163" customFormat="false" ht="15" hidden="false" customHeight="false" outlineLevel="0" collapsed="false">
      <c r="A163" s="18" t="s">
        <v>120</v>
      </c>
      <c r="B163" s="18" t="s">
        <v>499</v>
      </c>
      <c r="C163" s="18" t="s">
        <v>194</v>
      </c>
      <c r="D163" s="18"/>
      <c r="E163" s="18" t="s">
        <v>500</v>
      </c>
      <c r="F163" s="19" t="n">
        <v>45748</v>
      </c>
      <c r="G163" s="18" t="s">
        <v>196</v>
      </c>
      <c r="H163" s="18" t="s">
        <v>165</v>
      </c>
      <c r="I163" s="18" t="s">
        <v>165</v>
      </c>
      <c r="J163" s="18" t="s">
        <v>126</v>
      </c>
      <c r="K163" s="18"/>
      <c r="L163" s="18" t="s">
        <v>76</v>
      </c>
      <c r="M163" s="21" t="s">
        <v>15</v>
      </c>
      <c r="N163" s="18" t="s">
        <v>162</v>
      </c>
    </row>
    <row r="164" customFormat="false" ht="15" hidden="false" customHeight="false" outlineLevel="0" collapsed="false">
      <c r="A164" s="18" t="s">
        <v>120</v>
      </c>
      <c r="B164" s="18" t="s">
        <v>501</v>
      </c>
      <c r="C164" s="18" t="s">
        <v>194</v>
      </c>
      <c r="D164" s="18"/>
      <c r="E164" s="18" t="s">
        <v>502</v>
      </c>
      <c r="F164" s="19" t="n">
        <v>45748</v>
      </c>
      <c r="G164" s="18" t="s">
        <v>208</v>
      </c>
      <c r="H164" s="18" t="s">
        <v>126</v>
      </c>
      <c r="I164" s="18" t="s">
        <v>126</v>
      </c>
      <c r="J164" s="18" t="s">
        <v>126</v>
      </c>
      <c r="K164" s="18"/>
      <c r="L164" s="18" t="s">
        <v>72</v>
      </c>
      <c r="M164" s="20" t="s">
        <v>12</v>
      </c>
      <c r="N164" s="18" t="s">
        <v>150</v>
      </c>
    </row>
    <row r="165" customFormat="false" ht="15" hidden="false" customHeight="false" outlineLevel="0" collapsed="false">
      <c r="A165" s="18" t="s">
        <v>120</v>
      </c>
      <c r="B165" s="18" t="s">
        <v>503</v>
      </c>
      <c r="C165" s="18" t="s">
        <v>122</v>
      </c>
      <c r="D165" s="18" t="s">
        <v>504</v>
      </c>
      <c r="E165" s="18" t="s">
        <v>219</v>
      </c>
      <c r="F165" s="19" t="n">
        <v>45748</v>
      </c>
      <c r="G165" s="18" t="s">
        <v>244</v>
      </c>
      <c r="H165" s="18" t="s">
        <v>165</v>
      </c>
      <c r="I165" s="18" t="s">
        <v>126</v>
      </c>
      <c r="J165" s="18" t="s">
        <v>126</v>
      </c>
      <c r="K165" s="18"/>
      <c r="L165" s="18" t="s">
        <v>204</v>
      </c>
      <c r="M165" s="18"/>
      <c r="N165" s="18" t="s">
        <v>220</v>
      </c>
    </row>
    <row r="166" customFormat="false" ht="15" hidden="false" customHeight="false" outlineLevel="0" collapsed="false">
      <c r="A166" s="18" t="s">
        <v>120</v>
      </c>
      <c r="B166" s="18" t="s">
        <v>505</v>
      </c>
      <c r="C166" s="18" t="s">
        <v>194</v>
      </c>
      <c r="D166" s="18"/>
      <c r="E166" s="18" t="s">
        <v>506</v>
      </c>
      <c r="F166" s="19" t="n">
        <v>45749</v>
      </c>
      <c r="G166" s="18" t="s">
        <v>266</v>
      </c>
      <c r="H166" s="18" t="s">
        <v>165</v>
      </c>
      <c r="I166" s="18" t="s">
        <v>165</v>
      </c>
      <c r="J166" s="18" t="s">
        <v>126</v>
      </c>
      <c r="K166" s="18"/>
      <c r="L166" s="18" t="s">
        <v>72</v>
      </c>
      <c r="M166" s="20" t="s">
        <v>12</v>
      </c>
      <c r="N166" s="18" t="s">
        <v>150</v>
      </c>
    </row>
    <row r="167" customFormat="false" ht="15" hidden="false" customHeight="false" outlineLevel="0" collapsed="false">
      <c r="A167" s="18" t="s">
        <v>120</v>
      </c>
      <c r="B167" s="18" t="s">
        <v>507</v>
      </c>
      <c r="C167" s="18" t="s">
        <v>194</v>
      </c>
      <c r="D167" s="18"/>
      <c r="E167" s="18" t="s">
        <v>508</v>
      </c>
      <c r="F167" s="19" t="n">
        <v>45749</v>
      </c>
      <c r="G167" s="18" t="s">
        <v>208</v>
      </c>
      <c r="H167" s="18" t="s">
        <v>126</v>
      </c>
      <c r="I167" s="18" t="s">
        <v>126</v>
      </c>
      <c r="J167" s="18" t="s">
        <v>126</v>
      </c>
      <c r="K167" s="18"/>
      <c r="L167" s="18" t="s">
        <v>61</v>
      </c>
      <c r="M167" s="21" t="s">
        <v>15</v>
      </c>
      <c r="N167" s="18" t="s">
        <v>509</v>
      </c>
    </row>
    <row r="168" customFormat="false" ht="15" hidden="false" customHeight="false" outlineLevel="0" collapsed="false">
      <c r="A168" s="18" t="s">
        <v>120</v>
      </c>
      <c r="B168" s="18" t="s">
        <v>510</v>
      </c>
      <c r="C168" s="18" t="s">
        <v>122</v>
      </c>
      <c r="D168" s="18" t="s">
        <v>413</v>
      </c>
      <c r="E168" s="18" t="s">
        <v>511</v>
      </c>
      <c r="F168" s="19" t="n">
        <v>45749</v>
      </c>
      <c r="G168" s="18" t="s">
        <v>125</v>
      </c>
      <c r="H168" s="18" t="s">
        <v>126</v>
      </c>
      <c r="I168" s="18" t="s">
        <v>126</v>
      </c>
      <c r="J168" s="18" t="s">
        <v>126</v>
      </c>
      <c r="K168" s="18"/>
      <c r="L168" s="18" t="s">
        <v>171</v>
      </c>
      <c r="M168" s="18"/>
      <c r="N168" s="18" t="s">
        <v>172</v>
      </c>
    </row>
    <row r="169" customFormat="false" ht="15" hidden="false" customHeight="false" outlineLevel="0" collapsed="false">
      <c r="A169" s="18" t="s">
        <v>120</v>
      </c>
      <c r="B169" s="18" t="s">
        <v>512</v>
      </c>
      <c r="C169" s="18" t="s">
        <v>122</v>
      </c>
      <c r="D169" s="18" t="s">
        <v>405</v>
      </c>
      <c r="E169" s="18" t="s">
        <v>177</v>
      </c>
      <c r="F169" s="19" t="n">
        <v>45750</v>
      </c>
      <c r="G169" s="18" t="s">
        <v>125</v>
      </c>
      <c r="H169" s="18" t="s">
        <v>126</v>
      </c>
      <c r="I169" s="18" t="s">
        <v>126</v>
      </c>
      <c r="J169" s="18" t="s">
        <v>126</v>
      </c>
      <c r="K169" s="18"/>
      <c r="L169" s="18" t="s">
        <v>52</v>
      </c>
      <c r="M169" s="22" t="s">
        <v>50</v>
      </c>
      <c r="N169" s="18" t="s">
        <v>178</v>
      </c>
    </row>
    <row r="170" customFormat="false" ht="15" hidden="false" customHeight="false" outlineLevel="0" collapsed="false">
      <c r="A170" s="18" t="s">
        <v>120</v>
      </c>
      <c r="B170" s="18" t="s">
        <v>513</v>
      </c>
      <c r="C170" s="18" t="s">
        <v>122</v>
      </c>
      <c r="D170" s="18" t="s">
        <v>413</v>
      </c>
      <c r="E170" s="18" t="s">
        <v>514</v>
      </c>
      <c r="F170" s="19" t="n">
        <v>45750</v>
      </c>
      <c r="G170" s="18" t="s">
        <v>203</v>
      </c>
      <c r="H170" s="18" t="s">
        <v>165</v>
      </c>
      <c r="I170" s="18" t="s">
        <v>126</v>
      </c>
      <c r="J170" s="18" t="s">
        <v>126</v>
      </c>
      <c r="K170" s="18"/>
      <c r="L170" s="18" t="s">
        <v>204</v>
      </c>
      <c r="M170" s="18"/>
      <c r="N170" s="18" t="s">
        <v>220</v>
      </c>
    </row>
    <row r="171" customFormat="false" ht="15" hidden="false" customHeight="false" outlineLevel="0" collapsed="false">
      <c r="A171" s="18" t="s">
        <v>120</v>
      </c>
      <c r="B171" s="18" t="s">
        <v>515</v>
      </c>
      <c r="C171" s="18" t="s">
        <v>194</v>
      </c>
      <c r="D171" s="18"/>
      <c r="E171" s="18" t="s">
        <v>133</v>
      </c>
      <c r="F171" s="19" t="n">
        <v>45751</v>
      </c>
      <c r="G171" s="18" t="s">
        <v>208</v>
      </c>
      <c r="H171" s="18" t="s">
        <v>126</v>
      </c>
      <c r="I171" s="18" t="s">
        <v>126</v>
      </c>
      <c r="J171" s="18" t="s">
        <v>165</v>
      </c>
      <c r="K171" s="18" t="s">
        <v>209</v>
      </c>
      <c r="L171" s="18" t="s">
        <v>273</v>
      </c>
      <c r="M171" s="18"/>
      <c r="N171" s="18" t="s">
        <v>274</v>
      </c>
    </row>
    <row r="172" customFormat="false" ht="15" hidden="false" customHeight="false" outlineLevel="0" collapsed="false">
      <c r="A172" s="18" t="s">
        <v>120</v>
      </c>
      <c r="B172" s="18" t="s">
        <v>516</v>
      </c>
      <c r="C172" s="18" t="s">
        <v>122</v>
      </c>
      <c r="D172" s="18" t="s">
        <v>133</v>
      </c>
      <c r="E172" s="18" t="s">
        <v>517</v>
      </c>
      <c r="F172" s="19" t="n">
        <v>45751</v>
      </c>
      <c r="G172" s="18" t="s">
        <v>125</v>
      </c>
      <c r="H172" s="18" t="s">
        <v>126</v>
      </c>
      <c r="I172" s="18" t="s">
        <v>126</v>
      </c>
      <c r="J172" s="18" t="s">
        <v>126</v>
      </c>
      <c r="K172" s="18"/>
      <c r="L172" s="18" t="s">
        <v>171</v>
      </c>
      <c r="M172" s="18"/>
      <c r="N172" s="18" t="s">
        <v>172</v>
      </c>
    </row>
    <row r="173" customFormat="false" ht="15" hidden="false" customHeight="false" outlineLevel="0" collapsed="false">
      <c r="A173" s="18" t="s">
        <v>120</v>
      </c>
      <c r="B173" s="18" t="s">
        <v>518</v>
      </c>
      <c r="C173" s="18" t="s">
        <v>122</v>
      </c>
      <c r="D173" s="18" t="s">
        <v>133</v>
      </c>
      <c r="E173" s="18" t="s">
        <v>350</v>
      </c>
      <c r="F173" s="19" t="n">
        <v>45751</v>
      </c>
      <c r="G173" s="18" t="s">
        <v>125</v>
      </c>
      <c r="H173" s="18" t="s">
        <v>126</v>
      </c>
      <c r="I173" s="18" t="s">
        <v>126</v>
      </c>
      <c r="J173" s="18" t="s">
        <v>126</v>
      </c>
      <c r="K173" s="18"/>
      <c r="L173" s="18" t="s">
        <v>34</v>
      </c>
      <c r="M173" s="20" t="s">
        <v>12</v>
      </c>
      <c r="N173" s="18" t="s">
        <v>34</v>
      </c>
    </row>
    <row r="174" customFormat="false" ht="15" hidden="false" customHeight="false" outlineLevel="0" collapsed="false">
      <c r="A174" s="18" t="s">
        <v>120</v>
      </c>
      <c r="B174" s="18" t="s">
        <v>519</v>
      </c>
      <c r="C174" s="18" t="s">
        <v>122</v>
      </c>
      <c r="D174" s="18" t="s">
        <v>133</v>
      </c>
      <c r="E174" s="18" t="s">
        <v>520</v>
      </c>
      <c r="F174" s="19" t="n">
        <v>45751</v>
      </c>
      <c r="G174" s="18" t="s">
        <v>125</v>
      </c>
      <c r="H174" s="18" t="s">
        <v>126</v>
      </c>
      <c r="I174" s="18" t="s">
        <v>126</v>
      </c>
      <c r="J174" s="18" t="s">
        <v>126</v>
      </c>
      <c r="K174" s="18"/>
      <c r="L174" s="18" t="s">
        <v>204</v>
      </c>
      <c r="M174" s="18"/>
      <c r="N174" s="18" t="s">
        <v>220</v>
      </c>
    </row>
    <row r="175" customFormat="false" ht="15" hidden="false" customHeight="false" outlineLevel="0" collapsed="false">
      <c r="A175" s="18" t="s">
        <v>120</v>
      </c>
      <c r="B175" s="18" t="s">
        <v>521</v>
      </c>
      <c r="C175" s="18" t="s">
        <v>122</v>
      </c>
      <c r="D175" s="18" t="s">
        <v>133</v>
      </c>
      <c r="E175" s="18" t="s">
        <v>522</v>
      </c>
      <c r="F175" s="19" t="n">
        <v>45751</v>
      </c>
      <c r="G175" s="18" t="s">
        <v>125</v>
      </c>
      <c r="H175" s="18" t="s">
        <v>126</v>
      </c>
      <c r="I175" s="18" t="s">
        <v>126</v>
      </c>
      <c r="J175" s="18" t="s">
        <v>126</v>
      </c>
      <c r="K175" s="18"/>
      <c r="L175" s="18" t="s">
        <v>204</v>
      </c>
      <c r="M175" s="18"/>
      <c r="N175" s="18" t="s">
        <v>220</v>
      </c>
    </row>
    <row r="176" customFormat="false" ht="15" hidden="false" customHeight="false" outlineLevel="0" collapsed="false">
      <c r="A176" s="18" t="s">
        <v>120</v>
      </c>
      <c r="B176" s="18" t="s">
        <v>523</v>
      </c>
      <c r="C176" s="18" t="s">
        <v>122</v>
      </c>
      <c r="D176" s="18" t="s">
        <v>133</v>
      </c>
      <c r="E176" s="18" t="s">
        <v>524</v>
      </c>
      <c r="F176" s="19" t="n">
        <v>45751</v>
      </c>
      <c r="G176" s="18" t="s">
        <v>125</v>
      </c>
      <c r="H176" s="18" t="s">
        <v>126</v>
      </c>
      <c r="I176" s="18" t="s">
        <v>126</v>
      </c>
      <c r="J176" s="18" t="s">
        <v>126</v>
      </c>
      <c r="K176" s="18"/>
      <c r="L176" s="18" t="s">
        <v>171</v>
      </c>
      <c r="M176" s="18"/>
      <c r="N176" s="18" t="s">
        <v>172</v>
      </c>
    </row>
    <row r="177" customFormat="false" ht="15" hidden="false" customHeight="false" outlineLevel="0" collapsed="false">
      <c r="A177" s="18" t="s">
        <v>120</v>
      </c>
      <c r="B177" s="18" t="s">
        <v>525</v>
      </c>
      <c r="C177" s="18" t="s">
        <v>122</v>
      </c>
      <c r="D177" s="18" t="s">
        <v>133</v>
      </c>
      <c r="E177" s="18" t="s">
        <v>526</v>
      </c>
      <c r="F177" s="19" t="n">
        <v>45751</v>
      </c>
      <c r="G177" s="18" t="s">
        <v>125</v>
      </c>
      <c r="H177" s="18" t="s">
        <v>126</v>
      </c>
      <c r="I177" s="18" t="s">
        <v>126</v>
      </c>
      <c r="J177" s="18" t="s">
        <v>126</v>
      </c>
      <c r="K177" s="18"/>
      <c r="L177" s="18" t="s">
        <v>76</v>
      </c>
      <c r="M177" s="21" t="s">
        <v>15</v>
      </c>
      <c r="N177" s="18" t="s">
        <v>162</v>
      </c>
    </row>
    <row r="178" customFormat="false" ht="15" hidden="false" customHeight="false" outlineLevel="0" collapsed="false">
      <c r="A178" s="18" t="s">
        <v>120</v>
      </c>
      <c r="B178" s="18" t="s">
        <v>527</v>
      </c>
      <c r="C178" s="18" t="s">
        <v>122</v>
      </c>
      <c r="D178" s="18" t="s">
        <v>133</v>
      </c>
      <c r="E178" s="18" t="s">
        <v>528</v>
      </c>
      <c r="F178" s="19" t="n">
        <v>45751</v>
      </c>
      <c r="G178" s="18" t="s">
        <v>125</v>
      </c>
      <c r="H178" s="18" t="s">
        <v>126</v>
      </c>
      <c r="I178" s="18" t="s">
        <v>126</v>
      </c>
      <c r="J178" s="18" t="s">
        <v>126</v>
      </c>
      <c r="K178" s="18"/>
      <c r="L178" s="18" t="s">
        <v>171</v>
      </c>
      <c r="M178" s="18"/>
      <c r="N178" s="18" t="s">
        <v>172</v>
      </c>
    </row>
    <row r="179" customFormat="false" ht="15" hidden="false" customHeight="false" outlineLevel="0" collapsed="false">
      <c r="A179" s="18" t="s">
        <v>120</v>
      </c>
      <c r="B179" s="18" t="s">
        <v>529</v>
      </c>
      <c r="C179" s="18" t="s">
        <v>194</v>
      </c>
      <c r="D179" s="18"/>
      <c r="E179" s="18" t="s">
        <v>369</v>
      </c>
      <c r="F179" s="19" t="n">
        <v>45751</v>
      </c>
      <c r="G179" s="18" t="s">
        <v>208</v>
      </c>
      <c r="H179" s="18" t="s">
        <v>126</v>
      </c>
      <c r="I179" s="18" t="s">
        <v>126</v>
      </c>
      <c r="J179" s="18" t="s">
        <v>165</v>
      </c>
      <c r="K179" s="18" t="s">
        <v>209</v>
      </c>
      <c r="L179" s="18" t="s">
        <v>273</v>
      </c>
      <c r="M179" s="18"/>
      <c r="N179" s="18" t="s">
        <v>274</v>
      </c>
    </row>
    <row r="180" customFormat="false" ht="15" hidden="false" customHeight="false" outlineLevel="0" collapsed="false">
      <c r="A180" s="18" t="s">
        <v>120</v>
      </c>
      <c r="B180" s="18" t="s">
        <v>530</v>
      </c>
      <c r="C180" s="18" t="s">
        <v>194</v>
      </c>
      <c r="D180" s="18"/>
      <c r="E180" s="18" t="s">
        <v>531</v>
      </c>
      <c r="F180" s="19" t="n">
        <v>45754</v>
      </c>
      <c r="G180" s="18" t="s">
        <v>196</v>
      </c>
      <c r="H180" s="18" t="s">
        <v>165</v>
      </c>
      <c r="I180" s="18" t="s">
        <v>165</v>
      </c>
      <c r="J180" s="18" t="s">
        <v>126</v>
      </c>
      <c r="K180" s="18"/>
      <c r="L180" s="18" t="s">
        <v>171</v>
      </c>
      <c r="M180" s="18"/>
      <c r="N180" s="18" t="s">
        <v>172</v>
      </c>
    </row>
    <row r="181" customFormat="false" ht="15" hidden="false" customHeight="false" outlineLevel="0" collapsed="false">
      <c r="A181" s="18" t="s">
        <v>120</v>
      </c>
      <c r="B181" s="18" t="s">
        <v>532</v>
      </c>
      <c r="C181" s="18" t="s">
        <v>194</v>
      </c>
      <c r="D181" s="18"/>
      <c r="E181" s="18" t="s">
        <v>533</v>
      </c>
      <c r="F181" s="19" t="n">
        <v>45755</v>
      </c>
      <c r="G181" s="18" t="s">
        <v>203</v>
      </c>
      <c r="H181" s="18" t="s">
        <v>165</v>
      </c>
      <c r="I181" s="18" t="s">
        <v>126</v>
      </c>
      <c r="J181" s="18" t="s">
        <v>126</v>
      </c>
      <c r="K181" s="18"/>
      <c r="L181" s="18" t="s">
        <v>56</v>
      </c>
      <c r="M181" s="20" t="s">
        <v>12</v>
      </c>
      <c r="N181" s="18" t="s">
        <v>268</v>
      </c>
    </row>
    <row r="182" customFormat="false" ht="15" hidden="false" customHeight="false" outlineLevel="0" collapsed="false">
      <c r="A182" s="18" t="s">
        <v>120</v>
      </c>
      <c r="B182" s="18" t="s">
        <v>534</v>
      </c>
      <c r="C182" s="18" t="s">
        <v>194</v>
      </c>
      <c r="D182" s="18"/>
      <c r="E182" s="18" t="s">
        <v>535</v>
      </c>
      <c r="F182" s="19" t="n">
        <v>45756</v>
      </c>
      <c r="G182" s="18" t="s">
        <v>208</v>
      </c>
      <c r="H182" s="18" t="s">
        <v>126</v>
      </c>
      <c r="I182" s="18" t="s">
        <v>126</v>
      </c>
      <c r="J182" s="18" t="s">
        <v>126</v>
      </c>
      <c r="K182" s="18"/>
      <c r="L182" s="18" t="s">
        <v>11</v>
      </c>
      <c r="M182" s="20" t="s">
        <v>12</v>
      </c>
      <c r="N182" s="18" t="s">
        <v>147</v>
      </c>
    </row>
    <row r="183" customFormat="false" ht="15" hidden="false" customHeight="false" outlineLevel="0" collapsed="false">
      <c r="A183" s="18" t="s">
        <v>120</v>
      </c>
      <c r="B183" s="18" t="s">
        <v>536</v>
      </c>
      <c r="C183" s="18" t="s">
        <v>194</v>
      </c>
      <c r="D183" s="18"/>
      <c r="E183" s="18" t="s">
        <v>433</v>
      </c>
      <c r="F183" s="19" t="n">
        <v>45757</v>
      </c>
      <c r="G183" s="18" t="s">
        <v>208</v>
      </c>
      <c r="H183" s="18" t="s">
        <v>126</v>
      </c>
      <c r="I183" s="18" t="s">
        <v>126</v>
      </c>
      <c r="J183" s="18" t="s">
        <v>126</v>
      </c>
      <c r="K183" s="18"/>
      <c r="L183" s="18" t="s">
        <v>52</v>
      </c>
      <c r="M183" s="22" t="s">
        <v>50</v>
      </c>
      <c r="N183" s="18" t="s">
        <v>178</v>
      </c>
    </row>
    <row r="184" customFormat="false" ht="15" hidden="false" customHeight="false" outlineLevel="0" collapsed="false">
      <c r="A184" s="18" t="s">
        <v>120</v>
      </c>
      <c r="B184" s="18" t="s">
        <v>537</v>
      </c>
      <c r="C184" s="18" t="s">
        <v>194</v>
      </c>
      <c r="D184" s="18"/>
      <c r="E184" s="18" t="s">
        <v>538</v>
      </c>
      <c r="F184" s="19" t="n">
        <v>45757</v>
      </c>
      <c r="G184" s="18" t="s">
        <v>208</v>
      </c>
      <c r="H184" s="18" t="s">
        <v>126</v>
      </c>
      <c r="I184" s="18" t="s">
        <v>126</v>
      </c>
      <c r="J184" s="18" t="s">
        <v>126</v>
      </c>
      <c r="K184" s="18"/>
      <c r="L184" s="18" t="s">
        <v>49</v>
      </c>
      <c r="M184" s="22" t="s">
        <v>50</v>
      </c>
      <c r="N184" s="18" t="s">
        <v>230</v>
      </c>
    </row>
    <row r="185" customFormat="false" ht="15" hidden="false" customHeight="false" outlineLevel="0" collapsed="false">
      <c r="A185" s="18" t="s">
        <v>120</v>
      </c>
      <c r="B185" s="18" t="s">
        <v>539</v>
      </c>
      <c r="C185" s="18" t="s">
        <v>194</v>
      </c>
      <c r="D185" s="18"/>
      <c r="E185" s="18" t="s">
        <v>540</v>
      </c>
      <c r="F185" s="19" t="n">
        <v>45757</v>
      </c>
      <c r="G185" s="18" t="s">
        <v>208</v>
      </c>
      <c r="H185" s="18" t="s">
        <v>126</v>
      </c>
      <c r="I185" s="18" t="s">
        <v>126</v>
      </c>
      <c r="J185" s="18" t="s">
        <v>126</v>
      </c>
      <c r="K185" s="18"/>
      <c r="L185" s="18" t="s">
        <v>66</v>
      </c>
      <c r="M185" s="22" t="s">
        <v>50</v>
      </c>
      <c r="N185" s="18" t="s">
        <v>66</v>
      </c>
    </row>
    <row r="186" customFormat="false" ht="15" hidden="false" customHeight="false" outlineLevel="0" collapsed="false">
      <c r="A186" s="18" t="s">
        <v>120</v>
      </c>
      <c r="B186" s="18" t="s">
        <v>541</v>
      </c>
      <c r="C186" s="18" t="s">
        <v>122</v>
      </c>
      <c r="D186" s="18" t="s">
        <v>405</v>
      </c>
      <c r="E186" s="23" t="s">
        <v>542</v>
      </c>
      <c r="F186" s="19" t="n">
        <v>45757</v>
      </c>
      <c r="G186" s="18" t="s">
        <v>266</v>
      </c>
      <c r="H186" s="18" t="s">
        <v>165</v>
      </c>
      <c r="I186" s="18" t="s">
        <v>165</v>
      </c>
      <c r="J186" s="18" t="s">
        <v>126</v>
      </c>
      <c r="K186" s="18"/>
      <c r="L186" s="18" t="s">
        <v>171</v>
      </c>
      <c r="M186" s="18"/>
      <c r="N186" s="18" t="s">
        <v>543</v>
      </c>
    </row>
    <row r="187" customFormat="false" ht="15" hidden="false" customHeight="false" outlineLevel="0" collapsed="false">
      <c r="A187" s="18" t="s">
        <v>120</v>
      </c>
      <c r="B187" s="18" t="s">
        <v>544</v>
      </c>
      <c r="C187" s="18" t="s">
        <v>194</v>
      </c>
      <c r="D187" s="18"/>
      <c r="E187" s="18" t="s">
        <v>545</v>
      </c>
      <c r="F187" s="19" t="n">
        <v>45758</v>
      </c>
      <c r="G187" s="18" t="s">
        <v>208</v>
      </c>
      <c r="H187" s="18" t="s">
        <v>126</v>
      </c>
      <c r="I187" s="18" t="s">
        <v>126</v>
      </c>
      <c r="J187" s="18" t="s">
        <v>126</v>
      </c>
      <c r="K187" s="18"/>
      <c r="L187" s="18" t="s">
        <v>89</v>
      </c>
      <c r="M187" s="20" t="s">
        <v>12</v>
      </c>
      <c r="N187" s="18" t="s">
        <v>197</v>
      </c>
    </row>
    <row r="188" customFormat="false" ht="15" hidden="false" customHeight="false" outlineLevel="0" collapsed="false">
      <c r="A188" s="18" t="s">
        <v>120</v>
      </c>
      <c r="B188" s="18" t="s">
        <v>546</v>
      </c>
      <c r="C188" s="18" t="s">
        <v>122</v>
      </c>
      <c r="D188" s="18" t="s">
        <v>545</v>
      </c>
      <c r="E188" s="18" t="s">
        <v>547</v>
      </c>
      <c r="F188" s="19" t="n">
        <v>45758</v>
      </c>
      <c r="G188" s="18" t="s">
        <v>548</v>
      </c>
      <c r="H188" s="18" t="s">
        <v>165</v>
      </c>
      <c r="I188" s="18" t="s">
        <v>126</v>
      </c>
      <c r="J188" s="18" t="s">
        <v>126</v>
      </c>
      <c r="K188" s="18"/>
      <c r="L188" s="18" t="s">
        <v>204</v>
      </c>
      <c r="M188" s="18"/>
      <c r="N188" s="18" t="s">
        <v>220</v>
      </c>
    </row>
    <row r="189" customFormat="false" ht="15" hidden="false" customHeight="false" outlineLevel="0" collapsed="false">
      <c r="A189" s="18" t="s">
        <v>120</v>
      </c>
      <c r="B189" s="18" t="s">
        <v>549</v>
      </c>
      <c r="C189" s="18" t="s">
        <v>122</v>
      </c>
      <c r="D189" s="18" t="s">
        <v>545</v>
      </c>
      <c r="E189" s="18" t="s">
        <v>550</v>
      </c>
      <c r="F189" s="19" t="n">
        <v>45758</v>
      </c>
      <c r="G189" s="18" t="s">
        <v>551</v>
      </c>
      <c r="H189" s="18" t="s">
        <v>126</v>
      </c>
      <c r="I189" s="18" t="s">
        <v>126</v>
      </c>
      <c r="J189" s="18" t="s">
        <v>126</v>
      </c>
      <c r="K189" s="18"/>
      <c r="L189" s="18" t="s">
        <v>89</v>
      </c>
      <c r="M189" s="20" t="s">
        <v>12</v>
      </c>
      <c r="N189" s="18" t="s">
        <v>197</v>
      </c>
    </row>
    <row r="190" customFormat="false" ht="15" hidden="false" customHeight="false" outlineLevel="0" collapsed="false">
      <c r="A190" s="18" t="s">
        <v>120</v>
      </c>
      <c r="B190" s="18" t="s">
        <v>552</v>
      </c>
      <c r="C190" s="18" t="s">
        <v>194</v>
      </c>
      <c r="D190" s="18"/>
      <c r="E190" s="18" t="s">
        <v>553</v>
      </c>
      <c r="F190" s="19" t="n">
        <v>45761</v>
      </c>
      <c r="G190" s="18" t="s">
        <v>208</v>
      </c>
      <c r="H190" s="18" t="s">
        <v>126</v>
      </c>
      <c r="I190" s="18" t="s">
        <v>126</v>
      </c>
      <c r="J190" s="18" t="s">
        <v>126</v>
      </c>
      <c r="K190" s="18"/>
      <c r="L190" s="18" t="s">
        <v>89</v>
      </c>
      <c r="M190" s="20" t="s">
        <v>12</v>
      </c>
      <c r="N190" s="18" t="s">
        <v>197</v>
      </c>
    </row>
    <row r="191" customFormat="false" ht="15" hidden="false" customHeight="false" outlineLevel="0" collapsed="false">
      <c r="A191" s="18" t="s">
        <v>120</v>
      </c>
      <c r="B191" s="18" t="s">
        <v>554</v>
      </c>
      <c r="C191" s="18" t="s">
        <v>194</v>
      </c>
      <c r="D191" s="18"/>
      <c r="E191" s="18" t="s">
        <v>555</v>
      </c>
      <c r="F191" s="19" t="n">
        <v>45761</v>
      </c>
      <c r="G191" s="18" t="s">
        <v>208</v>
      </c>
      <c r="H191" s="18" t="s">
        <v>126</v>
      </c>
      <c r="I191" s="18" t="s">
        <v>126</v>
      </c>
      <c r="J191" s="18" t="s">
        <v>126</v>
      </c>
      <c r="K191" s="18"/>
      <c r="L191" s="18" t="s">
        <v>72</v>
      </c>
      <c r="M191" s="20" t="s">
        <v>12</v>
      </c>
      <c r="N191" s="18" t="s">
        <v>150</v>
      </c>
    </row>
    <row r="192" customFormat="false" ht="15" hidden="false" customHeight="false" outlineLevel="0" collapsed="false">
      <c r="A192" s="18" t="s">
        <v>120</v>
      </c>
      <c r="B192" s="18" t="s">
        <v>556</v>
      </c>
      <c r="C192" s="18" t="s">
        <v>122</v>
      </c>
      <c r="D192" s="18" t="s">
        <v>555</v>
      </c>
      <c r="E192" s="18" t="s">
        <v>557</v>
      </c>
      <c r="F192" s="19" t="n">
        <v>45761</v>
      </c>
      <c r="G192" s="18" t="s">
        <v>358</v>
      </c>
      <c r="H192" s="18" t="s">
        <v>126</v>
      </c>
      <c r="I192" s="18" t="s">
        <v>126</v>
      </c>
      <c r="J192" s="18" t="s">
        <v>126</v>
      </c>
      <c r="K192" s="18"/>
      <c r="L192" s="18" t="s">
        <v>204</v>
      </c>
      <c r="M192" s="18"/>
      <c r="N192" s="18" t="s">
        <v>220</v>
      </c>
    </row>
    <row r="193" customFormat="false" ht="15" hidden="false" customHeight="false" outlineLevel="0" collapsed="false">
      <c r="A193" s="18" t="s">
        <v>120</v>
      </c>
      <c r="B193" s="18" t="s">
        <v>558</v>
      </c>
      <c r="C193" s="18" t="s">
        <v>122</v>
      </c>
      <c r="D193" s="18" t="s">
        <v>405</v>
      </c>
      <c r="E193" s="18" t="s">
        <v>559</v>
      </c>
      <c r="F193" s="19" t="n">
        <v>45761</v>
      </c>
      <c r="G193" s="18" t="s">
        <v>560</v>
      </c>
      <c r="H193" s="18" t="s">
        <v>126</v>
      </c>
      <c r="I193" s="18" t="s">
        <v>126</v>
      </c>
      <c r="J193" s="18" t="s">
        <v>126</v>
      </c>
      <c r="K193" s="18"/>
      <c r="L193" s="18" t="s">
        <v>76</v>
      </c>
      <c r="M193" s="21" t="s">
        <v>15</v>
      </c>
      <c r="N193" s="18" t="s">
        <v>561</v>
      </c>
    </row>
    <row r="194" customFormat="false" ht="15" hidden="false" customHeight="false" outlineLevel="0" collapsed="false">
      <c r="A194" s="18" t="s">
        <v>120</v>
      </c>
      <c r="B194" s="18" t="s">
        <v>562</v>
      </c>
      <c r="C194" s="18" t="s">
        <v>194</v>
      </c>
      <c r="D194" s="18"/>
      <c r="E194" s="18" t="s">
        <v>563</v>
      </c>
      <c r="F194" s="19" t="n">
        <v>45763</v>
      </c>
      <c r="G194" s="18" t="s">
        <v>196</v>
      </c>
      <c r="H194" s="18" t="s">
        <v>165</v>
      </c>
      <c r="I194" s="18" t="s">
        <v>165</v>
      </c>
      <c r="J194" s="18" t="s">
        <v>126</v>
      </c>
      <c r="K194" s="18"/>
      <c r="L194" s="18" t="s">
        <v>204</v>
      </c>
      <c r="M194" s="18"/>
      <c r="N194" s="18" t="s">
        <v>220</v>
      </c>
    </row>
    <row r="195" customFormat="false" ht="15" hidden="false" customHeight="false" outlineLevel="0" collapsed="false">
      <c r="A195" s="18" t="s">
        <v>120</v>
      </c>
      <c r="B195" s="18" t="s">
        <v>564</v>
      </c>
      <c r="C195" s="18" t="s">
        <v>194</v>
      </c>
      <c r="D195" s="18"/>
      <c r="E195" s="18" t="s">
        <v>565</v>
      </c>
      <c r="F195" s="19" t="n">
        <v>45763</v>
      </c>
      <c r="G195" s="18" t="s">
        <v>208</v>
      </c>
      <c r="H195" s="18" t="s">
        <v>126</v>
      </c>
      <c r="I195" s="18" t="s">
        <v>126</v>
      </c>
      <c r="J195" s="18" t="s">
        <v>126</v>
      </c>
      <c r="K195" s="18"/>
      <c r="L195" s="18" t="s">
        <v>171</v>
      </c>
      <c r="M195" s="18"/>
      <c r="N195" s="18" t="s">
        <v>172</v>
      </c>
    </row>
    <row r="196" customFormat="false" ht="15" hidden="false" customHeight="false" outlineLevel="0" collapsed="false">
      <c r="A196" s="18" t="s">
        <v>120</v>
      </c>
      <c r="B196" s="18" t="s">
        <v>566</v>
      </c>
      <c r="C196" s="18" t="s">
        <v>194</v>
      </c>
      <c r="D196" s="18"/>
      <c r="E196" s="18" t="s">
        <v>567</v>
      </c>
      <c r="F196" s="19" t="n">
        <v>45763</v>
      </c>
      <c r="G196" s="18" t="s">
        <v>208</v>
      </c>
      <c r="H196" s="18" t="s">
        <v>126</v>
      </c>
      <c r="I196" s="18" t="s">
        <v>126</v>
      </c>
      <c r="J196" s="18" t="s">
        <v>126</v>
      </c>
      <c r="K196" s="18"/>
      <c r="L196" s="18" t="s">
        <v>11</v>
      </c>
      <c r="M196" s="20" t="s">
        <v>12</v>
      </c>
      <c r="N196" s="18" t="s">
        <v>147</v>
      </c>
    </row>
    <row r="197" customFormat="false" ht="15" hidden="false" customHeight="false" outlineLevel="0" collapsed="false">
      <c r="A197" s="18" t="s">
        <v>120</v>
      </c>
      <c r="B197" s="18" t="s">
        <v>568</v>
      </c>
      <c r="C197" s="18" t="s">
        <v>194</v>
      </c>
      <c r="D197" s="18"/>
      <c r="E197" s="18" t="s">
        <v>569</v>
      </c>
      <c r="F197" s="19" t="n">
        <v>45763</v>
      </c>
      <c r="G197" s="18" t="s">
        <v>208</v>
      </c>
      <c r="H197" s="18" t="s">
        <v>126</v>
      </c>
      <c r="I197" s="18" t="s">
        <v>126</v>
      </c>
      <c r="J197" s="18" t="s">
        <v>126</v>
      </c>
      <c r="K197" s="18"/>
      <c r="L197" s="18" t="s">
        <v>11</v>
      </c>
      <c r="M197" s="20" t="s">
        <v>12</v>
      </c>
      <c r="N197" s="18" t="s">
        <v>147</v>
      </c>
    </row>
    <row r="198" customFormat="false" ht="15" hidden="false" customHeight="false" outlineLevel="0" collapsed="false">
      <c r="A198" s="18" t="s">
        <v>120</v>
      </c>
      <c r="B198" s="18" t="s">
        <v>570</v>
      </c>
      <c r="C198" s="18" t="s">
        <v>194</v>
      </c>
      <c r="D198" s="18"/>
      <c r="E198" s="18" t="s">
        <v>571</v>
      </c>
      <c r="F198" s="19" t="n">
        <v>45764</v>
      </c>
      <c r="G198" s="18" t="s">
        <v>208</v>
      </c>
      <c r="H198" s="18" t="s">
        <v>126</v>
      </c>
      <c r="I198" s="18" t="s">
        <v>126</v>
      </c>
      <c r="J198" s="18" t="s">
        <v>126</v>
      </c>
      <c r="K198" s="18"/>
      <c r="L198" s="18" t="s">
        <v>23</v>
      </c>
      <c r="M198" s="20" t="s">
        <v>12</v>
      </c>
      <c r="N198" s="18" t="s">
        <v>572</v>
      </c>
    </row>
    <row r="199" customFormat="false" ht="15" hidden="false" customHeight="false" outlineLevel="0" collapsed="false">
      <c r="A199" s="18" t="s">
        <v>120</v>
      </c>
      <c r="B199" s="18" t="s">
        <v>573</v>
      </c>
      <c r="C199" s="18" t="s">
        <v>122</v>
      </c>
      <c r="D199" s="18" t="s">
        <v>574</v>
      </c>
      <c r="E199" s="18" t="s">
        <v>575</v>
      </c>
      <c r="F199" s="19" t="n">
        <v>45764</v>
      </c>
      <c r="G199" s="18" t="s">
        <v>125</v>
      </c>
      <c r="H199" s="18" t="s">
        <v>126</v>
      </c>
      <c r="I199" s="18" t="s">
        <v>126</v>
      </c>
      <c r="J199" s="18" t="s">
        <v>126</v>
      </c>
      <c r="K199" s="18"/>
      <c r="L199" s="18" t="s">
        <v>171</v>
      </c>
      <c r="M199" s="18"/>
      <c r="N199" s="18" t="s">
        <v>576</v>
      </c>
    </row>
    <row r="200" customFormat="false" ht="15" hidden="false" customHeight="false" outlineLevel="0" collapsed="false">
      <c r="A200" s="18" t="s">
        <v>120</v>
      </c>
      <c r="B200" s="18" t="s">
        <v>577</v>
      </c>
      <c r="C200" s="18" t="s">
        <v>194</v>
      </c>
      <c r="D200" s="18"/>
      <c r="E200" s="18" t="s">
        <v>578</v>
      </c>
      <c r="F200" s="19" t="n">
        <v>45770</v>
      </c>
      <c r="G200" s="18" t="s">
        <v>208</v>
      </c>
      <c r="H200" s="18" t="s">
        <v>126</v>
      </c>
      <c r="I200" s="18" t="s">
        <v>126</v>
      </c>
      <c r="J200" s="18" t="s">
        <v>165</v>
      </c>
      <c r="K200" s="18" t="s">
        <v>209</v>
      </c>
      <c r="L200" s="18" t="s">
        <v>36</v>
      </c>
      <c r="M200" s="22" t="s">
        <v>50</v>
      </c>
      <c r="N200" s="18" t="s">
        <v>243</v>
      </c>
    </row>
    <row r="201" customFormat="false" ht="15" hidden="false" customHeight="false" outlineLevel="0" collapsed="false">
      <c r="A201" s="18" t="s">
        <v>120</v>
      </c>
      <c r="B201" s="18" t="s">
        <v>579</v>
      </c>
      <c r="C201" s="18" t="s">
        <v>122</v>
      </c>
      <c r="D201" s="18" t="s">
        <v>578</v>
      </c>
      <c r="E201" s="18" t="s">
        <v>243</v>
      </c>
      <c r="F201" s="19" t="n">
        <v>45770</v>
      </c>
      <c r="G201" s="18" t="s">
        <v>125</v>
      </c>
      <c r="H201" s="18" t="s">
        <v>126</v>
      </c>
      <c r="I201" s="18" t="s">
        <v>126</v>
      </c>
      <c r="J201" s="18" t="s">
        <v>126</v>
      </c>
      <c r="K201" s="18"/>
      <c r="L201" s="18" t="s">
        <v>36</v>
      </c>
      <c r="M201" s="22" t="s">
        <v>50</v>
      </c>
      <c r="N201" s="18" t="s">
        <v>243</v>
      </c>
    </row>
    <row r="202" customFormat="false" ht="15" hidden="false" customHeight="false" outlineLevel="0" collapsed="false">
      <c r="A202" s="18" t="s">
        <v>120</v>
      </c>
      <c r="B202" s="18" t="s">
        <v>580</v>
      </c>
      <c r="C202" s="18" t="s">
        <v>122</v>
      </c>
      <c r="D202" s="18" t="s">
        <v>491</v>
      </c>
      <c r="E202" s="18" t="s">
        <v>581</v>
      </c>
      <c r="F202" s="19" t="n">
        <v>45770</v>
      </c>
      <c r="G202" s="18" t="s">
        <v>125</v>
      </c>
      <c r="H202" s="18" t="s">
        <v>126</v>
      </c>
      <c r="I202" s="18" t="s">
        <v>126</v>
      </c>
      <c r="J202" s="18" t="s">
        <v>126</v>
      </c>
      <c r="K202" s="18"/>
      <c r="L202" s="18" t="s">
        <v>61</v>
      </c>
      <c r="M202" s="21" t="s">
        <v>15</v>
      </c>
      <c r="N202" s="18" t="s">
        <v>509</v>
      </c>
    </row>
    <row r="203" customFormat="false" ht="15" hidden="false" customHeight="false" outlineLevel="0" collapsed="false">
      <c r="A203" s="18" t="s">
        <v>120</v>
      </c>
      <c r="B203" s="18" t="s">
        <v>582</v>
      </c>
      <c r="C203" s="18" t="s">
        <v>194</v>
      </c>
      <c r="D203" s="18"/>
      <c r="E203" s="18" t="s">
        <v>583</v>
      </c>
      <c r="F203" s="19" t="n">
        <v>45771</v>
      </c>
      <c r="G203" s="18" t="s">
        <v>208</v>
      </c>
      <c r="H203" s="18" t="s">
        <v>126</v>
      </c>
      <c r="I203" s="18" t="s">
        <v>126</v>
      </c>
      <c r="J203" s="18" t="s">
        <v>165</v>
      </c>
      <c r="K203" s="18" t="s">
        <v>209</v>
      </c>
      <c r="L203" s="18" t="s">
        <v>273</v>
      </c>
      <c r="M203" s="18"/>
      <c r="N203" s="18" t="s">
        <v>274</v>
      </c>
    </row>
    <row r="204" customFormat="false" ht="15" hidden="false" customHeight="false" outlineLevel="0" collapsed="false">
      <c r="A204" s="18" t="s">
        <v>120</v>
      </c>
      <c r="B204" s="18" t="s">
        <v>584</v>
      </c>
      <c r="C204" s="18" t="s">
        <v>122</v>
      </c>
      <c r="D204" s="18" t="s">
        <v>583</v>
      </c>
      <c r="E204" s="18" t="s">
        <v>243</v>
      </c>
      <c r="F204" s="19" t="n">
        <v>45771</v>
      </c>
      <c r="G204" s="18" t="s">
        <v>585</v>
      </c>
      <c r="H204" s="18" t="s">
        <v>165</v>
      </c>
      <c r="I204" s="18" t="s">
        <v>126</v>
      </c>
      <c r="J204" s="18" t="s">
        <v>126</v>
      </c>
      <c r="K204" s="18"/>
      <c r="L204" s="18" t="s">
        <v>36</v>
      </c>
      <c r="M204" s="22" t="s">
        <v>50</v>
      </c>
      <c r="N204" s="18" t="s">
        <v>243</v>
      </c>
    </row>
    <row r="205" customFormat="false" ht="15" hidden="false" customHeight="false" outlineLevel="0" collapsed="false">
      <c r="A205" s="18" t="s">
        <v>120</v>
      </c>
      <c r="B205" s="18" t="s">
        <v>586</v>
      </c>
      <c r="C205" s="18" t="s">
        <v>122</v>
      </c>
      <c r="D205" s="18" t="s">
        <v>491</v>
      </c>
      <c r="E205" s="18" t="s">
        <v>587</v>
      </c>
      <c r="F205" s="19" t="n">
        <v>45771</v>
      </c>
      <c r="G205" s="18" t="s">
        <v>125</v>
      </c>
      <c r="H205" s="18" t="s">
        <v>126</v>
      </c>
      <c r="I205" s="18" t="s">
        <v>126</v>
      </c>
      <c r="J205" s="18" t="s">
        <v>126</v>
      </c>
      <c r="K205" s="18"/>
      <c r="L205" s="18" t="s">
        <v>204</v>
      </c>
      <c r="M205" s="18"/>
      <c r="N205" s="18" t="s">
        <v>220</v>
      </c>
    </row>
    <row r="206" customFormat="false" ht="15" hidden="false" customHeight="false" outlineLevel="0" collapsed="false">
      <c r="A206" s="18" t="s">
        <v>120</v>
      </c>
      <c r="B206" s="18" t="s">
        <v>588</v>
      </c>
      <c r="C206" s="18" t="s">
        <v>122</v>
      </c>
      <c r="D206" s="18" t="s">
        <v>491</v>
      </c>
      <c r="E206" s="18" t="s">
        <v>589</v>
      </c>
      <c r="F206" s="19" t="n">
        <v>45772</v>
      </c>
      <c r="G206" s="18" t="s">
        <v>196</v>
      </c>
      <c r="H206" s="18" t="s">
        <v>165</v>
      </c>
      <c r="I206" s="18" t="s">
        <v>165</v>
      </c>
      <c r="J206" s="18" t="s">
        <v>126</v>
      </c>
      <c r="K206" s="18"/>
      <c r="L206" s="18" t="s">
        <v>204</v>
      </c>
      <c r="M206" s="18"/>
      <c r="N206" s="18" t="s">
        <v>220</v>
      </c>
    </row>
    <row r="207" customFormat="false" ht="15" hidden="false" customHeight="false" outlineLevel="0" collapsed="false">
      <c r="A207" s="18" t="s">
        <v>120</v>
      </c>
      <c r="B207" s="18" t="s">
        <v>590</v>
      </c>
      <c r="C207" s="18" t="s">
        <v>194</v>
      </c>
      <c r="D207" s="18"/>
      <c r="E207" s="18" t="s">
        <v>591</v>
      </c>
      <c r="F207" s="19" t="n">
        <v>45775</v>
      </c>
      <c r="G207" s="18" t="s">
        <v>208</v>
      </c>
      <c r="H207" s="18" t="s">
        <v>126</v>
      </c>
      <c r="I207" s="18" t="s">
        <v>126</v>
      </c>
      <c r="J207" s="18" t="s">
        <v>126</v>
      </c>
      <c r="K207" s="18"/>
      <c r="L207" s="18" t="s">
        <v>171</v>
      </c>
      <c r="M207" s="18"/>
      <c r="N207" s="18" t="s">
        <v>172</v>
      </c>
    </row>
    <row r="208" customFormat="false" ht="15" hidden="false" customHeight="false" outlineLevel="0" collapsed="false">
      <c r="A208" s="18" t="s">
        <v>120</v>
      </c>
      <c r="B208" s="18" t="s">
        <v>592</v>
      </c>
      <c r="C208" s="18" t="s">
        <v>194</v>
      </c>
      <c r="D208" s="18"/>
      <c r="E208" s="18" t="s">
        <v>504</v>
      </c>
      <c r="F208" s="19" t="n">
        <v>45776</v>
      </c>
      <c r="G208" s="18" t="s">
        <v>208</v>
      </c>
      <c r="H208" s="18" t="s">
        <v>126</v>
      </c>
      <c r="I208" s="18" t="s">
        <v>126</v>
      </c>
      <c r="J208" s="18" t="s">
        <v>126</v>
      </c>
      <c r="K208" s="18"/>
      <c r="L208" s="18" t="s">
        <v>61</v>
      </c>
      <c r="M208" s="21" t="s">
        <v>15</v>
      </c>
      <c r="N208" s="18" t="s">
        <v>509</v>
      </c>
    </row>
    <row r="209" customFormat="false" ht="15" hidden="false" customHeight="false" outlineLevel="0" collapsed="false">
      <c r="A209" s="18" t="s">
        <v>120</v>
      </c>
      <c r="B209" s="18" t="s">
        <v>593</v>
      </c>
      <c r="C209" s="18" t="s">
        <v>122</v>
      </c>
      <c r="D209" s="18" t="s">
        <v>504</v>
      </c>
      <c r="E209" s="18" t="s">
        <v>594</v>
      </c>
      <c r="F209" s="19" t="n">
        <v>45776</v>
      </c>
      <c r="G209" s="18" t="s">
        <v>551</v>
      </c>
      <c r="H209" s="18" t="s">
        <v>126</v>
      </c>
      <c r="I209" s="18" t="s">
        <v>126</v>
      </c>
      <c r="J209" s="18" t="s">
        <v>126</v>
      </c>
      <c r="K209" s="18"/>
      <c r="L209" s="18" t="s">
        <v>171</v>
      </c>
      <c r="M209" s="18"/>
      <c r="N209" s="18" t="s">
        <v>576</v>
      </c>
    </row>
    <row r="210" customFormat="false" ht="15" hidden="false" customHeight="false" outlineLevel="0" collapsed="false">
      <c r="A210" s="18" t="s">
        <v>120</v>
      </c>
      <c r="B210" s="18" t="s">
        <v>595</v>
      </c>
      <c r="C210" s="18" t="s">
        <v>122</v>
      </c>
      <c r="D210" s="18" t="s">
        <v>596</v>
      </c>
      <c r="E210" s="18" t="s">
        <v>597</v>
      </c>
      <c r="F210" s="19" t="n">
        <v>45777</v>
      </c>
      <c r="G210" s="18" t="s">
        <v>598</v>
      </c>
      <c r="H210" s="18" t="s">
        <v>126</v>
      </c>
      <c r="I210" s="18" t="s">
        <v>126</v>
      </c>
      <c r="J210" s="18" t="s">
        <v>126</v>
      </c>
      <c r="K210" s="18"/>
      <c r="L210" s="18" t="s">
        <v>204</v>
      </c>
      <c r="M210" s="18"/>
      <c r="N210" s="18" t="s">
        <v>220</v>
      </c>
    </row>
    <row r="211" customFormat="false" ht="15" hidden="false" customHeight="false" outlineLevel="0" collapsed="false">
      <c r="A211" s="18" t="s">
        <v>120</v>
      </c>
      <c r="B211" s="18" t="s">
        <v>599</v>
      </c>
      <c r="C211" s="18" t="s">
        <v>122</v>
      </c>
      <c r="D211" s="18" t="s">
        <v>596</v>
      </c>
      <c r="E211" s="18" t="s">
        <v>489</v>
      </c>
      <c r="F211" s="19" t="n">
        <v>45777</v>
      </c>
      <c r="G211" s="18" t="s">
        <v>125</v>
      </c>
      <c r="H211" s="18" t="s">
        <v>126</v>
      </c>
      <c r="I211" s="18" t="s">
        <v>126</v>
      </c>
      <c r="J211" s="18" t="s">
        <v>126</v>
      </c>
      <c r="K211" s="18"/>
      <c r="L211" s="18" t="s">
        <v>52</v>
      </c>
      <c r="M211" s="22" t="s">
        <v>50</v>
      </c>
      <c r="N211" s="18" t="s">
        <v>178</v>
      </c>
    </row>
    <row r="212" customFormat="false" ht="15" hidden="false" customHeight="false" outlineLevel="0" collapsed="false">
      <c r="A212" s="18" t="s">
        <v>120</v>
      </c>
      <c r="B212" s="18" t="s">
        <v>600</v>
      </c>
      <c r="C212" s="18" t="s">
        <v>122</v>
      </c>
      <c r="D212" s="18" t="s">
        <v>491</v>
      </c>
      <c r="E212" s="18" t="s">
        <v>601</v>
      </c>
      <c r="F212" s="19" t="n">
        <v>45777</v>
      </c>
      <c r="G212" s="18" t="s">
        <v>125</v>
      </c>
      <c r="H212" s="18" t="s">
        <v>126</v>
      </c>
      <c r="I212" s="18" t="s">
        <v>126</v>
      </c>
      <c r="J212" s="18" t="s">
        <v>126</v>
      </c>
      <c r="K212" s="18"/>
      <c r="L212" s="18" t="s">
        <v>52</v>
      </c>
      <c r="M212" s="22" t="s">
        <v>50</v>
      </c>
      <c r="N212" s="18" t="s">
        <v>178</v>
      </c>
    </row>
    <row r="213" customFormat="false" ht="15" hidden="false" customHeight="false" outlineLevel="0" collapsed="false">
      <c r="A213" s="18" t="s">
        <v>120</v>
      </c>
      <c r="B213" s="18" t="s">
        <v>602</v>
      </c>
      <c r="C213" s="18" t="s">
        <v>122</v>
      </c>
      <c r="D213" s="18" t="s">
        <v>491</v>
      </c>
      <c r="E213" s="18" t="s">
        <v>603</v>
      </c>
      <c r="F213" s="19" t="n">
        <v>45777</v>
      </c>
      <c r="G213" s="18" t="s">
        <v>125</v>
      </c>
      <c r="H213" s="18" t="s">
        <v>126</v>
      </c>
      <c r="I213" s="18" t="s">
        <v>126</v>
      </c>
      <c r="J213" s="18" t="s">
        <v>126</v>
      </c>
      <c r="K213" s="18"/>
      <c r="L213" s="18" t="s">
        <v>52</v>
      </c>
      <c r="M213" s="22" t="s">
        <v>50</v>
      </c>
      <c r="N213" s="18" t="s">
        <v>178</v>
      </c>
    </row>
    <row r="214" customFormat="false" ht="15" hidden="false" customHeight="false" outlineLevel="0" collapsed="false">
      <c r="A214" s="18" t="s">
        <v>120</v>
      </c>
      <c r="B214" s="18" t="s">
        <v>604</v>
      </c>
      <c r="C214" s="18" t="s">
        <v>122</v>
      </c>
      <c r="D214" s="18" t="s">
        <v>491</v>
      </c>
      <c r="E214" s="18" t="s">
        <v>605</v>
      </c>
      <c r="F214" s="19" t="n">
        <v>45777</v>
      </c>
      <c r="G214" s="18" t="s">
        <v>125</v>
      </c>
      <c r="H214" s="18" t="s">
        <v>126</v>
      </c>
      <c r="I214" s="18" t="s">
        <v>126</v>
      </c>
      <c r="J214" s="18" t="s">
        <v>126</v>
      </c>
      <c r="K214" s="18"/>
      <c r="L214" s="18" t="s">
        <v>204</v>
      </c>
      <c r="M214" s="18"/>
      <c r="N214" s="18" t="s">
        <v>606</v>
      </c>
    </row>
    <row r="215" customFormat="false" ht="15" hidden="false" customHeight="false" outlineLevel="0" collapsed="false">
      <c r="A215" s="18" t="s">
        <v>120</v>
      </c>
      <c r="B215" s="18" t="s">
        <v>607</v>
      </c>
      <c r="C215" s="18" t="s">
        <v>194</v>
      </c>
      <c r="D215" s="18"/>
      <c r="E215" s="18" t="s">
        <v>608</v>
      </c>
      <c r="F215" s="19" t="n">
        <v>45778</v>
      </c>
      <c r="G215" s="18" t="s">
        <v>208</v>
      </c>
      <c r="H215" s="18" t="s">
        <v>126</v>
      </c>
      <c r="I215" s="18" t="s">
        <v>126</v>
      </c>
      <c r="J215" s="18" t="s">
        <v>126</v>
      </c>
      <c r="K215" s="18"/>
      <c r="L215" s="18" t="s">
        <v>171</v>
      </c>
      <c r="M215" s="18"/>
      <c r="N215" s="18" t="s">
        <v>172</v>
      </c>
    </row>
    <row r="216" customFormat="false" ht="15" hidden="false" customHeight="false" outlineLevel="0" collapsed="false">
      <c r="A216" s="18" t="s">
        <v>120</v>
      </c>
      <c r="B216" s="18" t="s">
        <v>609</v>
      </c>
      <c r="C216" s="18" t="s">
        <v>194</v>
      </c>
      <c r="D216" s="18"/>
      <c r="E216" s="18" t="s">
        <v>610</v>
      </c>
      <c r="F216" s="19" t="n">
        <v>45778</v>
      </c>
      <c r="G216" s="18" t="s">
        <v>208</v>
      </c>
      <c r="H216" s="18" t="s">
        <v>126</v>
      </c>
      <c r="I216" s="18" t="s">
        <v>126</v>
      </c>
      <c r="J216" s="18" t="s">
        <v>126</v>
      </c>
      <c r="K216" s="18"/>
      <c r="L216" s="18" t="s">
        <v>11</v>
      </c>
      <c r="M216" s="20" t="s">
        <v>12</v>
      </c>
      <c r="N216" s="18" t="s">
        <v>147</v>
      </c>
    </row>
    <row r="217" customFormat="false" ht="15" hidden="false" customHeight="false" outlineLevel="0" collapsed="false">
      <c r="A217" s="18" t="s">
        <v>120</v>
      </c>
      <c r="B217" s="18" t="s">
        <v>611</v>
      </c>
      <c r="C217" s="18" t="s">
        <v>122</v>
      </c>
      <c r="D217" s="18" t="s">
        <v>596</v>
      </c>
      <c r="E217" s="18" t="s">
        <v>612</v>
      </c>
      <c r="F217" s="19" t="n">
        <v>45779</v>
      </c>
      <c r="G217" s="18" t="s">
        <v>125</v>
      </c>
      <c r="H217" s="18" t="s">
        <v>126</v>
      </c>
      <c r="I217" s="18" t="s">
        <v>126</v>
      </c>
      <c r="J217" s="18" t="s">
        <v>126</v>
      </c>
      <c r="K217" s="18"/>
      <c r="L217" s="18" t="s">
        <v>171</v>
      </c>
      <c r="M217" s="18"/>
      <c r="N217" s="18" t="s">
        <v>172</v>
      </c>
    </row>
    <row r="218" customFormat="false" ht="15" hidden="false" customHeight="false" outlineLevel="0" collapsed="false">
      <c r="A218" s="18" t="s">
        <v>120</v>
      </c>
      <c r="B218" s="18" t="s">
        <v>613</v>
      </c>
      <c r="C218" s="18" t="s">
        <v>122</v>
      </c>
      <c r="D218" s="18" t="s">
        <v>491</v>
      </c>
      <c r="E218" s="18" t="s">
        <v>614</v>
      </c>
      <c r="F218" s="19" t="n">
        <v>45779</v>
      </c>
      <c r="G218" s="18" t="s">
        <v>125</v>
      </c>
      <c r="H218" s="18" t="s">
        <v>126</v>
      </c>
      <c r="I218" s="18" t="s">
        <v>126</v>
      </c>
      <c r="J218" s="18" t="s">
        <v>126</v>
      </c>
      <c r="K218" s="18"/>
      <c r="L218" s="18" t="s">
        <v>36</v>
      </c>
      <c r="M218" s="22" t="s">
        <v>50</v>
      </c>
      <c r="N218" s="18" t="s">
        <v>243</v>
      </c>
    </row>
    <row r="219" customFormat="false" ht="15" hidden="false" customHeight="false" outlineLevel="0" collapsed="false">
      <c r="A219" s="18" t="s">
        <v>120</v>
      </c>
      <c r="B219" s="18" t="s">
        <v>615</v>
      </c>
      <c r="C219" s="18" t="s">
        <v>194</v>
      </c>
      <c r="D219" s="18"/>
      <c r="E219" s="18" t="s">
        <v>616</v>
      </c>
      <c r="F219" s="19" t="n">
        <v>45782</v>
      </c>
      <c r="G219" s="18" t="s">
        <v>358</v>
      </c>
      <c r="H219" s="18" t="s">
        <v>126</v>
      </c>
      <c r="I219" s="18" t="s">
        <v>126</v>
      </c>
      <c r="J219" s="18" t="s">
        <v>126</v>
      </c>
      <c r="K219" s="18"/>
      <c r="L219" s="18" t="s">
        <v>36</v>
      </c>
      <c r="M219" s="22" t="s">
        <v>50</v>
      </c>
      <c r="N219" s="18" t="s">
        <v>243</v>
      </c>
    </row>
    <row r="220" customFormat="false" ht="15" hidden="false" customHeight="false" outlineLevel="0" collapsed="false">
      <c r="A220" s="18" t="s">
        <v>120</v>
      </c>
      <c r="B220" s="18" t="s">
        <v>617</v>
      </c>
      <c r="C220" s="18" t="s">
        <v>122</v>
      </c>
      <c r="D220" s="18" t="s">
        <v>596</v>
      </c>
      <c r="E220" s="18" t="s">
        <v>618</v>
      </c>
      <c r="F220" s="19" t="n">
        <v>45782</v>
      </c>
      <c r="G220" s="18" t="s">
        <v>125</v>
      </c>
      <c r="H220" s="18" t="s">
        <v>126</v>
      </c>
      <c r="I220" s="18" t="s">
        <v>126</v>
      </c>
      <c r="J220" s="18" t="s">
        <v>126</v>
      </c>
      <c r="K220" s="18"/>
      <c r="L220" s="18" t="s">
        <v>171</v>
      </c>
      <c r="M220" s="18"/>
      <c r="N220" s="18" t="s">
        <v>172</v>
      </c>
    </row>
    <row r="221" customFormat="false" ht="15" hidden="false" customHeight="false" outlineLevel="0" collapsed="false">
      <c r="A221" s="18" t="s">
        <v>120</v>
      </c>
      <c r="B221" s="18" t="s">
        <v>619</v>
      </c>
      <c r="C221" s="18" t="s">
        <v>122</v>
      </c>
      <c r="D221" s="18" t="s">
        <v>596</v>
      </c>
      <c r="E221" s="18" t="s">
        <v>381</v>
      </c>
      <c r="F221" s="19" t="n">
        <v>45783</v>
      </c>
      <c r="G221" s="18" t="s">
        <v>125</v>
      </c>
      <c r="H221" s="18" t="s">
        <v>126</v>
      </c>
      <c r="I221" s="18" t="s">
        <v>126</v>
      </c>
      <c r="J221" s="18" t="s">
        <v>126</v>
      </c>
      <c r="K221" s="18"/>
      <c r="L221" s="18" t="s">
        <v>11</v>
      </c>
      <c r="M221" s="20" t="s">
        <v>12</v>
      </c>
      <c r="N221" s="18" t="s">
        <v>147</v>
      </c>
    </row>
    <row r="222" customFormat="false" ht="15" hidden="false" customHeight="false" outlineLevel="0" collapsed="false">
      <c r="A222" s="18" t="s">
        <v>120</v>
      </c>
      <c r="B222" s="18" t="s">
        <v>620</v>
      </c>
      <c r="C222" s="18" t="s">
        <v>122</v>
      </c>
      <c r="D222" s="18" t="s">
        <v>596</v>
      </c>
      <c r="E222" s="18" t="s">
        <v>621</v>
      </c>
      <c r="F222" s="19" t="n">
        <v>45783</v>
      </c>
      <c r="G222" s="18" t="s">
        <v>125</v>
      </c>
      <c r="H222" s="18" t="s">
        <v>126</v>
      </c>
      <c r="I222" s="18" t="s">
        <v>126</v>
      </c>
      <c r="J222" s="18" t="s">
        <v>126</v>
      </c>
      <c r="K222" s="18"/>
      <c r="L222" s="18" t="s">
        <v>11</v>
      </c>
      <c r="M222" s="20" t="s">
        <v>12</v>
      </c>
      <c r="N222" s="18" t="s">
        <v>147</v>
      </c>
    </row>
    <row r="223" customFormat="false" ht="15" hidden="false" customHeight="false" outlineLevel="0" collapsed="false">
      <c r="A223" s="18" t="s">
        <v>120</v>
      </c>
      <c r="B223" s="18" t="s">
        <v>622</v>
      </c>
      <c r="C223" s="18" t="s">
        <v>122</v>
      </c>
      <c r="D223" s="18" t="s">
        <v>491</v>
      </c>
      <c r="E223" s="18" t="s">
        <v>623</v>
      </c>
      <c r="F223" s="19" t="n">
        <v>45783</v>
      </c>
      <c r="G223" s="18" t="s">
        <v>125</v>
      </c>
      <c r="H223" s="18" t="s">
        <v>126</v>
      </c>
      <c r="I223" s="18" t="s">
        <v>126</v>
      </c>
      <c r="J223" s="18" t="s">
        <v>126</v>
      </c>
      <c r="K223" s="18"/>
      <c r="L223" s="18" t="s">
        <v>91</v>
      </c>
      <c r="M223" s="20" t="s">
        <v>12</v>
      </c>
      <c r="N223" s="18" t="s">
        <v>408</v>
      </c>
    </row>
    <row r="224" customFormat="false" ht="15" hidden="false" customHeight="false" outlineLevel="0" collapsed="false">
      <c r="A224" s="18" t="s">
        <v>120</v>
      </c>
      <c r="B224" s="18" t="s">
        <v>624</v>
      </c>
      <c r="C224" s="18" t="s">
        <v>194</v>
      </c>
      <c r="D224" s="18"/>
      <c r="E224" s="18" t="s">
        <v>625</v>
      </c>
      <c r="F224" s="19" t="n">
        <v>45784</v>
      </c>
      <c r="G224" s="18" t="s">
        <v>208</v>
      </c>
      <c r="H224" s="18" t="s">
        <v>126</v>
      </c>
      <c r="I224" s="18" t="s">
        <v>126</v>
      </c>
      <c r="J224" s="18" t="s">
        <v>126</v>
      </c>
      <c r="K224" s="18"/>
      <c r="L224" s="18" t="s">
        <v>66</v>
      </c>
      <c r="M224" s="22" t="s">
        <v>50</v>
      </c>
      <c r="N224" s="18" t="s">
        <v>66</v>
      </c>
    </row>
    <row r="225" customFormat="false" ht="15" hidden="false" customHeight="false" outlineLevel="0" collapsed="false">
      <c r="A225" s="18" t="s">
        <v>120</v>
      </c>
      <c r="B225" s="18" t="s">
        <v>626</v>
      </c>
      <c r="C225" s="18" t="s">
        <v>122</v>
      </c>
      <c r="D225" s="18" t="s">
        <v>491</v>
      </c>
      <c r="E225" s="18" t="s">
        <v>627</v>
      </c>
      <c r="F225" s="19" t="n">
        <v>45784</v>
      </c>
      <c r="G225" s="18" t="s">
        <v>125</v>
      </c>
      <c r="H225" s="18" t="s">
        <v>126</v>
      </c>
      <c r="I225" s="18" t="s">
        <v>126</v>
      </c>
      <c r="J225" s="18" t="s">
        <v>126</v>
      </c>
      <c r="K225" s="18"/>
      <c r="L225" s="18" t="s">
        <v>54</v>
      </c>
      <c r="M225" s="22" t="s">
        <v>50</v>
      </c>
      <c r="N225" s="18" t="s">
        <v>278</v>
      </c>
    </row>
    <row r="226" customFormat="false" ht="15" hidden="false" customHeight="false" outlineLevel="0" collapsed="false">
      <c r="A226" s="18" t="s">
        <v>120</v>
      </c>
      <c r="B226" s="18" t="s">
        <v>628</v>
      </c>
      <c r="C226" s="18" t="s">
        <v>194</v>
      </c>
      <c r="D226" s="18"/>
      <c r="E226" s="18" t="s">
        <v>405</v>
      </c>
      <c r="F226" s="19" t="n">
        <v>45786</v>
      </c>
      <c r="G226" s="18" t="s">
        <v>208</v>
      </c>
      <c r="H226" s="18" t="s">
        <v>126</v>
      </c>
      <c r="I226" s="18" t="s">
        <v>126</v>
      </c>
      <c r="J226" s="18" t="s">
        <v>165</v>
      </c>
      <c r="K226" s="18" t="s">
        <v>209</v>
      </c>
      <c r="L226" s="18" t="s">
        <v>273</v>
      </c>
      <c r="M226" s="18"/>
      <c r="N226" s="18" t="s">
        <v>274</v>
      </c>
    </row>
    <row r="227" customFormat="false" ht="15" hidden="false" customHeight="false" outlineLevel="0" collapsed="false">
      <c r="A227" s="18" t="s">
        <v>120</v>
      </c>
      <c r="B227" s="18" t="s">
        <v>629</v>
      </c>
      <c r="C227" s="18" t="s">
        <v>122</v>
      </c>
      <c r="D227" s="18" t="s">
        <v>405</v>
      </c>
      <c r="E227" s="18" t="s">
        <v>630</v>
      </c>
      <c r="F227" s="19" t="n">
        <v>45786</v>
      </c>
      <c r="G227" s="18" t="s">
        <v>125</v>
      </c>
      <c r="H227" s="18" t="s">
        <v>126</v>
      </c>
      <c r="I227" s="18" t="s">
        <v>126</v>
      </c>
      <c r="J227" s="18" t="s">
        <v>126</v>
      </c>
      <c r="K227" s="18"/>
      <c r="L227" s="18" t="s">
        <v>11</v>
      </c>
      <c r="M227" s="21" t="s">
        <v>15</v>
      </c>
      <c r="N227" s="18" t="s">
        <v>631</v>
      </c>
    </row>
    <row r="228" customFormat="false" ht="15" hidden="false" customHeight="false" outlineLevel="0" collapsed="false">
      <c r="A228" s="18" t="s">
        <v>120</v>
      </c>
      <c r="B228" s="18" t="s">
        <v>632</v>
      </c>
      <c r="C228" s="18" t="s">
        <v>122</v>
      </c>
      <c r="D228" s="18" t="s">
        <v>405</v>
      </c>
      <c r="E228" s="18" t="s">
        <v>633</v>
      </c>
      <c r="F228" s="19" t="n">
        <v>45786</v>
      </c>
      <c r="G228" s="18" t="s">
        <v>560</v>
      </c>
      <c r="H228" s="18" t="s">
        <v>126</v>
      </c>
      <c r="I228" s="18" t="s">
        <v>126</v>
      </c>
      <c r="J228" s="18" t="s">
        <v>126</v>
      </c>
      <c r="K228" s="18"/>
      <c r="L228" s="18" t="s">
        <v>171</v>
      </c>
      <c r="M228" s="18"/>
      <c r="N228" s="18" t="s">
        <v>543</v>
      </c>
    </row>
    <row r="229" customFormat="false" ht="15" hidden="false" customHeight="false" outlineLevel="0" collapsed="false">
      <c r="A229" s="18" t="s">
        <v>120</v>
      </c>
      <c r="B229" s="18" t="s">
        <v>634</v>
      </c>
      <c r="C229" s="18" t="s">
        <v>122</v>
      </c>
      <c r="D229" s="18" t="s">
        <v>405</v>
      </c>
      <c r="E229" s="18" t="s">
        <v>635</v>
      </c>
      <c r="F229" s="19" t="n">
        <v>45786</v>
      </c>
      <c r="G229" s="18" t="s">
        <v>560</v>
      </c>
      <c r="H229" s="18" t="s">
        <v>126</v>
      </c>
      <c r="I229" s="18" t="s">
        <v>126</v>
      </c>
      <c r="J229" s="18" t="s">
        <v>126</v>
      </c>
      <c r="K229" s="18"/>
      <c r="L229" s="18" t="s">
        <v>171</v>
      </c>
      <c r="M229" s="18"/>
      <c r="N229" s="18" t="s">
        <v>543</v>
      </c>
    </row>
    <row r="230" customFormat="false" ht="15" hidden="false" customHeight="false" outlineLevel="0" collapsed="false">
      <c r="A230" s="18" t="s">
        <v>120</v>
      </c>
      <c r="B230" s="18" t="s">
        <v>636</v>
      </c>
      <c r="C230" s="18" t="s">
        <v>122</v>
      </c>
      <c r="D230" s="18" t="s">
        <v>405</v>
      </c>
      <c r="E230" s="18" t="s">
        <v>637</v>
      </c>
      <c r="F230" s="19" t="n">
        <v>45786</v>
      </c>
      <c r="G230" s="18" t="s">
        <v>388</v>
      </c>
      <c r="H230" s="18" t="s">
        <v>165</v>
      </c>
      <c r="I230" s="18" t="s">
        <v>126</v>
      </c>
      <c r="J230" s="18" t="s">
        <v>126</v>
      </c>
      <c r="K230" s="18"/>
      <c r="L230" s="18" t="s">
        <v>91</v>
      </c>
      <c r="M230" s="20" t="s">
        <v>12</v>
      </c>
      <c r="N230" s="18" t="s">
        <v>408</v>
      </c>
    </row>
    <row r="231" customFormat="false" ht="15" hidden="false" customHeight="false" outlineLevel="0" collapsed="false">
      <c r="A231" s="18" t="s">
        <v>120</v>
      </c>
      <c r="B231" s="18" t="s">
        <v>638</v>
      </c>
      <c r="C231" s="18" t="s">
        <v>122</v>
      </c>
      <c r="D231" s="18" t="s">
        <v>405</v>
      </c>
      <c r="E231" s="18" t="s">
        <v>639</v>
      </c>
      <c r="F231" s="19" t="n">
        <v>45786</v>
      </c>
      <c r="G231" s="18" t="s">
        <v>560</v>
      </c>
      <c r="H231" s="18" t="s">
        <v>126</v>
      </c>
      <c r="I231" s="18" t="s">
        <v>126</v>
      </c>
      <c r="J231" s="18" t="s">
        <v>126</v>
      </c>
      <c r="K231" s="18"/>
      <c r="L231" s="18" t="s">
        <v>11</v>
      </c>
      <c r="M231" s="20" t="s">
        <v>12</v>
      </c>
      <c r="N231" s="18" t="s">
        <v>147</v>
      </c>
    </row>
    <row r="232" customFormat="false" ht="15" hidden="false" customHeight="false" outlineLevel="0" collapsed="false">
      <c r="A232" s="18" t="s">
        <v>120</v>
      </c>
      <c r="B232" s="18" t="s">
        <v>640</v>
      </c>
      <c r="C232" s="18" t="s">
        <v>122</v>
      </c>
      <c r="D232" s="18" t="s">
        <v>405</v>
      </c>
      <c r="E232" s="18" t="s">
        <v>641</v>
      </c>
      <c r="F232" s="19" t="n">
        <v>45786</v>
      </c>
      <c r="G232" s="18" t="s">
        <v>395</v>
      </c>
      <c r="H232" s="18" t="s">
        <v>165</v>
      </c>
      <c r="I232" s="18" t="s">
        <v>126</v>
      </c>
      <c r="J232" s="18" t="s">
        <v>126</v>
      </c>
      <c r="K232" s="18"/>
      <c r="L232" s="18" t="s">
        <v>171</v>
      </c>
      <c r="M232" s="18"/>
      <c r="N232" s="18" t="s">
        <v>543</v>
      </c>
    </row>
    <row r="233" customFormat="false" ht="15" hidden="false" customHeight="false" outlineLevel="0" collapsed="false">
      <c r="A233" s="18" t="s">
        <v>120</v>
      </c>
      <c r="B233" s="18" t="s">
        <v>642</v>
      </c>
      <c r="C233" s="18" t="s">
        <v>194</v>
      </c>
      <c r="D233" s="18"/>
      <c r="E233" s="18" t="s">
        <v>643</v>
      </c>
      <c r="F233" s="19" t="n">
        <v>45789</v>
      </c>
      <c r="G233" s="18" t="s">
        <v>208</v>
      </c>
      <c r="H233" s="18" t="s">
        <v>126</v>
      </c>
      <c r="I233" s="18" t="s">
        <v>126</v>
      </c>
      <c r="J233" s="18" t="s">
        <v>126</v>
      </c>
      <c r="K233" s="18"/>
      <c r="L233" s="18" t="s">
        <v>49</v>
      </c>
      <c r="M233" s="22" t="s">
        <v>50</v>
      </c>
      <c r="N233" s="18" t="s">
        <v>230</v>
      </c>
    </row>
    <row r="234" customFormat="false" ht="15" hidden="false" customHeight="false" outlineLevel="0" collapsed="false">
      <c r="A234" s="18" t="s">
        <v>120</v>
      </c>
      <c r="B234" s="18" t="s">
        <v>644</v>
      </c>
      <c r="C234" s="18" t="s">
        <v>194</v>
      </c>
      <c r="D234" s="18"/>
      <c r="E234" s="18" t="s">
        <v>645</v>
      </c>
      <c r="F234" s="19" t="n">
        <v>45789</v>
      </c>
      <c r="G234" s="18" t="s">
        <v>208</v>
      </c>
      <c r="H234" s="18" t="s">
        <v>126</v>
      </c>
      <c r="I234" s="18" t="s">
        <v>126</v>
      </c>
      <c r="J234" s="18" t="s">
        <v>165</v>
      </c>
      <c r="K234" s="18" t="s">
        <v>209</v>
      </c>
      <c r="L234" s="18" t="s">
        <v>56</v>
      </c>
      <c r="M234" s="20" t="s">
        <v>12</v>
      </c>
      <c r="N234" s="18" t="s">
        <v>268</v>
      </c>
    </row>
    <row r="235" customFormat="false" ht="15" hidden="false" customHeight="false" outlineLevel="0" collapsed="false">
      <c r="A235" s="18" t="s">
        <v>120</v>
      </c>
      <c r="B235" s="18" t="s">
        <v>646</v>
      </c>
      <c r="C235" s="18" t="s">
        <v>122</v>
      </c>
      <c r="D235" s="18" t="s">
        <v>645</v>
      </c>
      <c r="E235" s="18" t="s">
        <v>647</v>
      </c>
      <c r="F235" s="19" t="n">
        <v>45789</v>
      </c>
      <c r="G235" s="18" t="s">
        <v>388</v>
      </c>
      <c r="H235" s="18" t="s">
        <v>165</v>
      </c>
      <c r="I235" s="18" t="s">
        <v>126</v>
      </c>
      <c r="J235" s="18" t="s">
        <v>126</v>
      </c>
      <c r="K235" s="18"/>
      <c r="L235" s="18" t="s">
        <v>56</v>
      </c>
      <c r="M235" s="20" t="s">
        <v>12</v>
      </c>
      <c r="N235" s="18" t="s">
        <v>268</v>
      </c>
    </row>
    <row r="236" customFormat="false" ht="15" hidden="false" customHeight="false" outlineLevel="0" collapsed="false">
      <c r="A236" s="18" t="s">
        <v>120</v>
      </c>
      <c r="B236" s="18" t="s">
        <v>648</v>
      </c>
      <c r="C236" s="18" t="s">
        <v>122</v>
      </c>
      <c r="D236" s="18" t="s">
        <v>596</v>
      </c>
      <c r="E236" s="18" t="s">
        <v>649</v>
      </c>
      <c r="F236" s="19" t="n">
        <v>45789</v>
      </c>
      <c r="G236" s="18" t="s">
        <v>125</v>
      </c>
      <c r="H236" s="18" t="s">
        <v>126</v>
      </c>
      <c r="I236" s="18" t="s">
        <v>126</v>
      </c>
      <c r="J236" s="18" t="s">
        <v>126</v>
      </c>
      <c r="K236" s="18"/>
      <c r="L236" s="18" t="s">
        <v>171</v>
      </c>
      <c r="M236" s="18"/>
      <c r="N236" s="18" t="s">
        <v>172</v>
      </c>
    </row>
    <row r="237" customFormat="false" ht="15" hidden="false" customHeight="false" outlineLevel="0" collapsed="false">
      <c r="A237" s="18" t="s">
        <v>120</v>
      </c>
      <c r="B237" s="18" t="s">
        <v>650</v>
      </c>
      <c r="C237" s="18" t="s">
        <v>194</v>
      </c>
      <c r="D237" s="18"/>
      <c r="E237" s="18" t="s">
        <v>651</v>
      </c>
      <c r="F237" s="19" t="n">
        <v>45790</v>
      </c>
      <c r="G237" s="18" t="s">
        <v>208</v>
      </c>
      <c r="H237" s="18" t="s">
        <v>126</v>
      </c>
      <c r="I237" s="18" t="s">
        <v>126</v>
      </c>
      <c r="J237" s="18" t="s">
        <v>126</v>
      </c>
      <c r="K237" s="18"/>
      <c r="L237" s="18" t="s">
        <v>56</v>
      </c>
      <c r="M237" s="20" t="s">
        <v>12</v>
      </c>
      <c r="N237" s="18" t="s">
        <v>268</v>
      </c>
    </row>
    <row r="238" customFormat="false" ht="15" hidden="false" customHeight="false" outlineLevel="0" collapsed="false">
      <c r="A238" s="18" t="s">
        <v>120</v>
      </c>
      <c r="B238" s="18" t="s">
        <v>652</v>
      </c>
      <c r="C238" s="18" t="s">
        <v>194</v>
      </c>
      <c r="D238" s="18"/>
      <c r="E238" s="18" t="s">
        <v>653</v>
      </c>
      <c r="F238" s="19" t="n">
        <v>45790</v>
      </c>
      <c r="G238" s="18" t="s">
        <v>208</v>
      </c>
      <c r="H238" s="18" t="s">
        <v>126</v>
      </c>
      <c r="I238" s="18" t="s">
        <v>126</v>
      </c>
      <c r="J238" s="18" t="s">
        <v>165</v>
      </c>
      <c r="K238" s="18" t="s">
        <v>209</v>
      </c>
      <c r="L238" s="18" t="s">
        <v>273</v>
      </c>
      <c r="M238" s="18"/>
      <c r="N238" s="18" t="s">
        <v>274</v>
      </c>
    </row>
    <row r="239" customFormat="false" ht="15" hidden="false" customHeight="false" outlineLevel="0" collapsed="false">
      <c r="A239" s="18" t="s">
        <v>120</v>
      </c>
      <c r="B239" s="18" t="s">
        <v>654</v>
      </c>
      <c r="C239" s="18" t="s">
        <v>122</v>
      </c>
      <c r="D239" s="18" t="s">
        <v>653</v>
      </c>
      <c r="E239" s="18" t="s">
        <v>655</v>
      </c>
      <c r="F239" s="19" t="n">
        <v>45790</v>
      </c>
      <c r="G239" s="18" t="s">
        <v>125</v>
      </c>
      <c r="H239" s="18" t="s">
        <v>126</v>
      </c>
      <c r="I239" s="18" t="s">
        <v>126</v>
      </c>
      <c r="J239" s="18" t="s">
        <v>126</v>
      </c>
      <c r="K239" s="18"/>
      <c r="L239" s="18" t="s">
        <v>72</v>
      </c>
      <c r="M239" s="20" t="s">
        <v>12</v>
      </c>
      <c r="N239" s="18" t="s">
        <v>150</v>
      </c>
    </row>
    <row r="240" customFormat="false" ht="15" hidden="false" customHeight="false" outlineLevel="0" collapsed="false">
      <c r="A240" s="18" t="s">
        <v>120</v>
      </c>
      <c r="B240" s="18" t="s">
        <v>656</v>
      </c>
      <c r="C240" s="18" t="s">
        <v>122</v>
      </c>
      <c r="D240" s="18" t="s">
        <v>653</v>
      </c>
      <c r="E240" s="18" t="s">
        <v>657</v>
      </c>
      <c r="F240" s="19" t="n">
        <v>45790</v>
      </c>
      <c r="G240" s="18" t="s">
        <v>125</v>
      </c>
      <c r="H240" s="18" t="s">
        <v>126</v>
      </c>
      <c r="I240" s="18" t="s">
        <v>126</v>
      </c>
      <c r="J240" s="18" t="s">
        <v>126</v>
      </c>
      <c r="K240" s="18"/>
      <c r="L240" s="18" t="s">
        <v>26</v>
      </c>
      <c r="M240" s="20" t="s">
        <v>12</v>
      </c>
      <c r="N240" s="18" t="s">
        <v>135</v>
      </c>
    </row>
    <row r="241" customFormat="false" ht="15" hidden="false" customHeight="false" outlineLevel="0" collapsed="false">
      <c r="A241" s="18" t="s">
        <v>120</v>
      </c>
      <c r="B241" s="18" t="s">
        <v>658</v>
      </c>
      <c r="C241" s="18" t="s">
        <v>122</v>
      </c>
      <c r="D241" s="18" t="s">
        <v>653</v>
      </c>
      <c r="E241" s="18" t="s">
        <v>659</v>
      </c>
      <c r="F241" s="19" t="n">
        <v>45790</v>
      </c>
      <c r="G241" s="18" t="s">
        <v>125</v>
      </c>
      <c r="H241" s="18" t="s">
        <v>126</v>
      </c>
      <c r="I241" s="18" t="s">
        <v>126</v>
      </c>
      <c r="J241" s="18" t="s">
        <v>126</v>
      </c>
      <c r="K241" s="18"/>
      <c r="L241" s="18" t="s">
        <v>26</v>
      </c>
      <c r="M241" s="20" t="s">
        <v>12</v>
      </c>
      <c r="N241" s="18" t="s">
        <v>135</v>
      </c>
    </row>
    <row r="242" customFormat="false" ht="15" hidden="false" customHeight="false" outlineLevel="0" collapsed="false">
      <c r="A242" s="18" t="s">
        <v>120</v>
      </c>
      <c r="B242" s="18" t="s">
        <v>660</v>
      </c>
      <c r="C242" s="18" t="s">
        <v>122</v>
      </c>
      <c r="D242" s="18" t="s">
        <v>596</v>
      </c>
      <c r="E242" s="18" t="s">
        <v>661</v>
      </c>
      <c r="F242" s="19" t="n">
        <v>45790</v>
      </c>
      <c r="G242" s="18" t="s">
        <v>125</v>
      </c>
      <c r="H242" s="18" t="s">
        <v>126</v>
      </c>
      <c r="I242" s="18" t="s">
        <v>126</v>
      </c>
      <c r="J242" s="18" t="s">
        <v>126</v>
      </c>
      <c r="K242" s="18"/>
      <c r="L242" s="18" t="s">
        <v>171</v>
      </c>
      <c r="M242" s="18"/>
      <c r="N242" s="18" t="s">
        <v>172</v>
      </c>
    </row>
    <row r="243" customFormat="false" ht="15" hidden="false" customHeight="false" outlineLevel="0" collapsed="false">
      <c r="A243" s="18" t="s">
        <v>120</v>
      </c>
      <c r="B243" s="18" t="s">
        <v>662</v>
      </c>
      <c r="C243" s="18" t="s">
        <v>122</v>
      </c>
      <c r="D243" s="18" t="s">
        <v>596</v>
      </c>
      <c r="E243" s="18" t="s">
        <v>663</v>
      </c>
      <c r="F243" s="19" t="n">
        <v>45790</v>
      </c>
      <c r="G243" s="18" t="s">
        <v>125</v>
      </c>
      <c r="H243" s="18" t="s">
        <v>126</v>
      </c>
      <c r="I243" s="18" t="s">
        <v>126</v>
      </c>
      <c r="J243" s="18" t="s">
        <v>126</v>
      </c>
      <c r="K243" s="18"/>
      <c r="L243" s="18" t="s">
        <v>171</v>
      </c>
      <c r="M243" s="18"/>
      <c r="N243" s="18" t="s">
        <v>172</v>
      </c>
    </row>
    <row r="244" customFormat="false" ht="15" hidden="false" customHeight="false" outlineLevel="0" collapsed="false">
      <c r="A244" s="18" t="s">
        <v>120</v>
      </c>
      <c r="B244" s="18" t="s">
        <v>664</v>
      </c>
      <c r="C244" s="18" t="s">
        <v>122</v>
      </c>
      <c r="D244" s="18" t="s">
        <v>596</v>
      </c>
      <c r="E244" s="18" t="s">
        <v>665</v>
      </c>
      <c r="F244" s="19" t="n">
        <v>45790</v>
      </c>
      <c r="G244" s="18" t="s">
        <v>196</v>
      </c>
      <c r="H244" s="18" t="s">
        <v>165</v>
      </c>
      <c r="I244" s="18" t="s">
        <v>165</v>
      </c>
      <c r="J244" s="18" t="s">
        <v>126</v>
      </c>
      <c r="K244" s="18"/>
      <c r="L244" s="18" t="s">
        <v>89</v>
      </c>
      <c r="M244" s="20" t="s">
        <v>12</v>
      </c>
      <c r="N244" s="18" t="s">
        <v>197</v>
      </c>
    </row>
    <row r="245" customFormat="false" ht="15" hidden="false" customHeight="false" outlineLevel="0" collapsed="false">
      <c r="A245" s="18" t="s">
        <v>120</v>
      </c>
      <c r="B245" s="18" t="s">
        <v>666</v>
      </c>
      <c r="C245" s="18" t="s">
        <v>194</v>
      </c>
      <c r="D245" s="18"/>
      <c r="E245" s="18" t="s">
        <v>667</v>
      </c>
      <c r="F245" s="19" t="n">
        <v>45790</v>
      </c>
      <c r="G245" s="18" t="s">
        <v>203</v>
      </c>
      <c r="H245" s="18" t="s">
        <v>165</v>
      </c>
      <c r="I245" s="18" t="s">
        <v>126</v>
      </c>
      <c r="J245" s="18" t="s">
        <v>126</v>
      </c>
      <c r="K245" s="18"/>
      <c r="L245" s="18" t="s">
        <v>171</v>
      </c>
      <c r="M245" s="18"/>
      <c r="N245" s="18" t="s">
        <v>172</v>
      </c>
    </row>
    <row r="246" customFormat="false" ht="15" hidden="false" customHeight="false" outlineLevel="0" collapsed="false">
      <c r="A246" s="18" t="s">
        <v>120</v>
      </c>
      <c r="B246" s="18" t="s">
        <v>668</v>
      </c>
      <c r="C246" s="18" t="s">
        <v>194</v>
      </c>
      <c r="D246" s="18"/>
      <c r="E246" s="18" t="s">
        <v>596</v>
      </c>
      <c r="F246" s="19" t="n">
        <v>45791</v>
      </c>
      <c r="G246" s="18" t="s">
        <v>208</v>
      </c>
      <c r="H246" s="18" t="s">
        <v>126</v>
      </c>
      <c r="I246" s="18" t="s">
        <v>126</v>
      </c>
      <c r="J246" s="18" t="s">
        <v>165</v>
      </c>
      <c r="K246" s="18" t="s">
        <v>209</v>
      </c>
      <c r="L246" s="18" t="s">
        <v>210</v>
      </c>
      <c r="M246" s="18"/>
      <c r="N246" s="18" t="s">
        <v>211</v>
      </c>
    </row>
    <row r="247" customFormat="false" ht="15" hidden="false" customHeight="false" outlineLevel="0" collapsed="false">
      <c r="A247" s="18" t="s">
        <v>120</v>
      </c>
      <c r="B247" s="18" t="s">
        <v>669</v>
      </c>
      <c r="C247" s="18" t="s">
        <v>122</v>
      </c>
      <c r="D247" s="18" t="s">
        <v>596</v>
      </c>
      <c r="E247" s="18" t="s">
        <v>670</v>
      </c>
      <c r="F247" s="19" t="n">
        <v>45791</v>
      </c>
      <c r="G247" s="18" t="s">
        <v>125</v>
      </c>
      <c r="H247" s="18" t="s">
        <v>126</v>
      </c>
      <c r="I247" s="18" t="s">
        <v>126</v>
      </c>
      <c r="J247" s="18" t="s">
        <v>126</v>
      </c>
      <c r="K247" s="18"/>
      <c r="L247" s="18" t="s">
        <v>52</v>
      </c>
      <c r="M247" s="22" t="s">
        <v>50</v>
      </c>
      <c r="N247" s="18" t="s">
        <v>178</v>
      </c>
    </row>
    <row r="248" customFormat="false" ht="15" hidden="false" customHeight="false" outlineLevel="0" collapsed="false">
      <c r="A248" s="18" t="s">
        <v>120</v>
      </c>
      <c r="B248" s="18" t="s">
        <v>671</v>
      </c>
      <c r="C248" s="18" t="s">
        <v>122</v>
      </c>
      <c r="D248" s="18" t="s">
        <v>596</v>
      </c>
      <c r="E248" s="18" t="s">
        <v>672</v>
      </c>
      <c r="F248" s="19" t="n">
        <v>45791</v>
      </c>
      <c r="G248" s="18" t="s">
        <v>196</v>
      </c>
      <c r="H248" s="18" t="s">
        <v>165</v>
      </c>
      <c r="I248" s="18" t="s">
        <v>165</v>
      </c>
      <c r="J248" s="18" t="s">
        <v>126</v>
      </c>
      <c r="K248" s="18"/>
      <c r="L248" s="18" t="s">
        <v>171</v>
      </c>
      <c r="M248" s="18"/>
      <c r="N248" s="18" t="s">
        <v>172</v>
      </c>
    </row>
    <row r="249" customFormat="false" ht="15" hidden="false" customHeight="false" outlineLevel="0" collapsed="false">
      <c r="A249" s="18" t="s">
        <v>120</v>
      </c>
      <c r="B249" s="18" t="s">
        <v>673</v>
      </c>
      <c r="C249" s="18" t="s">
        <v>122</v>
      </c>
      <c r="D249" s="18" t="s">
        <v>596</v>
      </c>
      <c r="E249" s="18" t="s">
        <v>674</v>
      </c>
      <c r="F249" s="19" t="n">
        <v>45791</v>
      </c>
      <c r="G249" s="18" t="s">
        <v>585</v>
      </c>
      <c r="H249" s="18" t="s">
        <v>165</v>
      </c>
      <c r="I249" s="18" t="s">
        <v>126</v>
      </c>
      <c r="J249" s="18" t="s">
        <v>126</v>
      </c>
      <c r="K249" s="18"/>
      <c r="L249" s="18" t="s">
        <v>52</v>
      </c>
      <c r="M249" s="22" t="s">
        <v>50</v>
      </c>
      <c r="N249" s="18" t="s">
        <v>178</v>
      </c>
    </row>
    <row r="250" customFormat="false" ht="15" hidden="false" customHeight="false" outlineLevel="0" collapsed="false">
      <c r="A250" s="18" t="s">
        <v>120</v>
      </c>
      <c r="B250" s="18" t="s">
        <v>675</v>
      </c>
      <c r="C250" s="18" t="s">
        <v>122</v>
      </c>
      <c r="D250" s="18" t="s">
        <v>491</v>
      </c>
      <c r="E250" s="18" t="s">
        <v>676</v>
      </c>
      <c r="F250" s="19" t="n">
        <v>45791</v>
      </c>
      <c r="G250" s="18" t="s">
        <v>125</v>
      </c>
      <c r="H250" s="18" t="s">
        <v>126</v>
      </c>
      <c r="I250" s="18" t="s">
        <v>126</v>
      </c>
      <c r="J250" s="18" t="s">
        <v>126</v>
      </c>
      <c r="K250" s="18"/>
      <c r="L250" s="18" t="s">
        <v>91</v>
      </c>
      <c r="M250" s="20" t="s">
        <v>12</v>
      </c>
      <c r="N250" s="18" t="s">
        <v>408</v>
      </c>
    </row>
    <row r="251" customFormat="false" ht="15" hidden="false" customHeight="false" outlineLevel="0" collapsed="false">
      <c r="A251" s="18" t="s">
        <v>120</v>
      </c>
      <c r="B251" s="18" t="s">
        <v>677</v>
      </c>
      <c r="C251" s="18" t="s">
        <v>194</v>
      </c>
      <c r="D251" s="18"/>
      <c r="E251" s="18" t="s">
        <v>574</v>
      </c>
      <c r="F251" s="19" t="n">
        <v>45792</v>
      </c>
      <c r="G251" s="18" t="s">
        <v>208</v>
      </c>
      <c r="H251" s="18" t="s">
        <v>126</v>
      </c>
      <c r="I251" s="18" t="s">
        <v>126</v>
      </c>
      <c r="J251" s="18" t="s">
        <v>126</v>
      </c>
      <c r="K251" s="18"/>
      <c r="L251" s="18" t="s">
        <v>210</v>
      </c>
      <c r="M251" s="18"/>
      <c r="N251" s="18" t="s">
        <v>211</v>
      </c>
    </row>
    <row r="252" customFormat="false" ht="15" hidden="false" customHeight="false" outlineLevel="0" collapsed="false">
      <c r="A252" s="18" t="s">
        <v>120</v>
      </c>
      <c r="B252" s="18" t="s">
        <v>678</v>
      </c>
      <c r="C252" s="18" t="s">
        <v>122</v>
      </c>
      <c r="D252" s="18" t="s">
        <v>574</v>
      </c>
      <c r="E252" s="18" t="s">
        <v>679</v>
      </c>
      <c r="F252" s="19" t="n">
        <v>45792</v>
      </c>
      <c r="G252" s="18" t="s">
        <v>125</v>
      </c>
      <c r="H252" s="18" t="s">
        <v>126</v>
      </c>
      <c r="I252" s="18" t="s">
        <v>126</v>
      </c>
      <c r="J252" s="18" t="s">
        <v>126</v>
      </c>
      <c r="K252" s="18"/>
      <c r="L252" s="18" t="s">
        <v>171</v>
      </c>
      <c r="M252" s="18"/>
      <c r="N252" s="18" t="s">
        <v>576</v>
      </c>
    </row>
    <row r="253" customFormat="false" ht="15" hidden="false" customHeight="false" outlineLevel="0" collapsed="false">
      <c r="A253" s="18" t="s">
        <v>120</v>
      </c>
      <c r="B253" s="18" t="s">
        <v>680</v>
      </c>
      <c r="C253" s="18" t="s">
        <v>194</v>
      </c>
      <c r="D253" s="18"/>
      <c r="E253" s="18" t="s">
        <v>681</v>
      </c>
      <c r="F253" s="19" t="n">
        <v>45792</v>
      </c>
      <c r="G253" s="18" t="s">
        <v>266</v>
      </c>
      <c r="H253" s="18" t="s">
        <v>165</v>
      </c>
      <c r="I253" s="18" t="s">
        <v>165</v>
      </c>
      <c r="J253" s="18" t="s">
        <v>126</v>
      </c>
      <c r="K253" s="18"/>
      <c r="L253" s="18" t="s">
        <v>204</v>
      </c>
      <c r="M253" s="18"/>
      <c r="N253" s="18" t="s">
        <v>220</v>
      </c>
    </row>
    <row r="254" customFormat="false" ht="15" hidden="false" customHeight="false" outlineLevel="0" collapsed="false">
      <c r="A254" s="18" t="s">
        <v>120</v>
      </c>
      <c r="B254" s="18" t="s">
        <v>682</v>
      </c>
      <c r="C254" s="18" t="s">
        <v>194</v>
      </c>
      <c r="D254" s="18"/>
      <c r="E254" s="18" t="s">
        <v>683</v>
      </c>
      <c r="F254" s="19" t="n">
        <v>45792</v>
      </c>
      <c r="G254" s="18" t="s">
        <v>208</v>
      </c>
      <c r="H254" s="18" t="s">
        <v>126</v>
      </c>
      <c r="I254" s="18" t="s">
        <v>126</v>
      </c>
      <c r="J254" s="18" t="s">
        <v>126</v>
      </c>
      <c r="K254" s="18"/>
      <c r="L254" s="18" t="s">
        <v>56</v>
      </c>
      <c r="M254" s="20" t="s">
        <v>12</v>
      </c>
      <c r="N254" s="18" t="s">
        <v>268</v>
      </c>
    </row>
    <row r="255" customFormat="false" ht="15" hidden="false" customHeight="false" outlineLevel="0" collapsed="false">
      <c r="A255" s="18" t="s">
        <v>120</v>
      </c>
      <c r="B255" s="18" t="s">
        <v>684</v>
      </c>
      <c r="C255" s="18" t="s">
        <v>194</v>
      </c>
      <c r="D255" s="18"/>
      <c r="E255" s="18" t="s">
        <v>685</v>
      </c>
      <c r="F255" s="19" t="n">
        <v>45793</v>
      </c>
      <c r="G255" s="18" t="s">
        <v>196</v>
      </c>
      <c r="H255" s="18" t="s">
        <v>165</v>
      </c>
      <c r="I255" s="18" t="s">
        <v>165</v>
      </c>
      <c r="J255" s="18" t="s">
        <v>126</v>
      </c>
      <c r="K255" s="18"/>
      <c r="L255" s="18" t="s">
        <v>52</v>
      </c>
      <c r="M255" s="22" t="s">
        <v>50</v>
      </c>
      <c r="N255" s="18" t="s">
        <v>178</v>
      </c>
    </row>
    <row r="256" customFormat="false" ht="15" hidden="false" customHeight="false" outlineLevel="0" collapsed="false">
      <c r="A256" s="18" t="s">
        <v>120</v>
      </c>
      <c r="B256" s="18" t="s">
        <v>686</v>
      </c>
      <c r="C256" s="18" t="s">
        <v>194</v>
      </c>
      <c r="D256" s="18"/>
      <c r="E256" s="18" t="s">
        <v>687</v>
      </c>
      <c r="F256" s="19" t="n">
        <v>45793</v>
      </c>
      <c r="G256" s="18" t="s">
        <v>208</v>
      </c>
      <c r="H256" s="18" t="s">
        <v>126</v>
      </c>
      <c r="I256" s="18" t="s">
        <v>126</v>
      </c>
      <c r="J256" s="18" t="s">
        <v>126</v>
      </c>
      <c r="K256" s="18"/>
      <c r="L256" s="18" t="s">
        <v>52</v>
      </c>
      <c r="M256" s="22" t="s">
        <v>50</v>
      </c>
      <c r="N256" s="18" t="s">
        <v>178</v>
      </c>
    </row>
    <row r="257" customFormat="false" ht="15" hidden="false" customHeight="false" outlineLevel="0" collapsed="false">
      <c r="A257" s="18" t="s">
        <v>120</v>
      </c>
      <c r="B257" s="18" t="s">
        <v>688</v>
      </c>
      <c r="C257" s="18" t="s">
        <v>194</v>
      </c>
      <c r="D257" s="18"/>
      <c r="E257" s="18" t="s">
        <v>689</v>
      </c>
      <c r="F257" s="19" t="n">
        <v>45793</v>
      </c>
      <c r="G257" s="18" t="s">
        <v>208</v>
      </c>
      <c r="H257" s="18" t="s">
        <v>126</v>
      </c>
      <c r="I257" s="18" t="s">
        <v>126</v>
      </c>
      <c r="J257" s="18" t="s">
        <v>126</v>
      </c>
      <c r="K257" s="18"/>
      <c r="L257" s="18" t="s">
        <v>210</v>
      </c>
      <c r="M257" s="18"/>
      <c r="N257" s="18" t="s">
        <v>211</v>
      </c>
    </row>
    <row r="258" customFormat="false" ht="15" hidden="false" customHeight="false" outlineLevel="0" collapsed="false">
      <c r="A258" s="18" t="s">
        <v>120</v>
      </c>
      <c r="B258" s="18" t="s">
        <v>690</v>
      </c>
      <c r="C258" s="18" t="s">
        <v>194</v>
      </c>
      <c r="D258" s="18"/>
      <c r="E258" s="18" t="s">
        <v>691</v>
      </c>
      <c r="F258" s="19" t="n">
        <v>45795</v>
      </c>
      <c r="G258" s="18" t="s">
        <v>208</v>
      </c>
      <c r="H258" s="18" t="s">
        <v>126</v>
      </c>
      <c r="I258" s="18" t="s">
        <v>126</v>
      </c>
      <c r="J258" s="18" t="s">
        <v>165</v>
      </c>
      <c r="K258" s="18" t="s">
        <v>209</v>
      </c>
      <c r="L258" s="18" t="s">
        <v>273</v>
      </c>
      <c r="M258" s="18"/>
      <c r="N258" s="18" t="s">
        <v>274</v>
      </c>
    </row>
    <row r="259" customFormat="false" ht="15" hidden="false" customHeight="false" outlineLevel="0" collapsed="false">
      <c r="A259" s="18" t="s">
        <v>120</v>
      </c>
      <c r="B259" s="18" t="s">
        <v>692</v>
      </c>
      <c r="C259" s="18" t="s">
        <v>122</v>
      </c>
      <c r="D259" s="18" t="s">
        <v>691</v>
      </c>
      <c r="E259" s="18" t="s">
        <v>693</v>
      </c>
      <c r="F259" s="19" t="n">
        <v>45795</v>
      </c>
      <c r="G259" s="18" t="s">
        <v>694</v>
      </c>
      <c r="H259" s="18" t="s">
        <v>126</v>
      </c>
      <c r="I259" s="18" t="s">
        <v>126</v>
      </c>
      <c r="J259" s="18" t="s">
        <v>126</v>
      </c>
      <c r="K259" s="18"/>
      <c r="L259" s="18" t="s">
        <v>204</v>
      </c>
      <c r="M259" s="18"/>
      <c r="N259" s="18" t="s">
        <v>220</v>
      </c>
    </row>
    <row r="260" customFormat="false" ht="15" hidden="false" customHeight="false" outlineLevel="0" collapsed="false">
      <c r="A260" s="18" t="s">
        <v>120</v>
      </c>
      <c r="B260" s="18" t="s">
        <v>695</v>
      </c>
      <c r="C260" s="18" t="s">
        <v>122</v>
      </c>
      <c r="D260" s="18" t="s">
        <v>691</v>
      </c>
      <c r="E260" s="18" t="s">
        <v>177</v>
      </c>
      <c r="F260" s="19" t="n">
        <v>45795</v>
      </c>
      <c r="G260" s="18" t="s">
        <v>125</v>
      </c>
      <c r="H260" s="18" t="s">
        <v>126</v>
      </c>
      <c r="I260" s="18" t="s">
        <v>126</v>
      </c>
      <c r="J260" s="18" t="s">
        <v>126</v>
      </c>
      <c r="K260" s="18"/>
      <c r="L260" s="18" t="s">
        <v>52</v>
      </c>
      <c r="M260" s="22" t="s">
        <v>50</v>
      </c>
      <c r="N260" s="18" t="s">
        <v>178</v>
      </c>
    </row>
    <row r="261" customFormat="false" ht="15" hidden="false" customHeight="false" outlineLevel="0" collapsed="false">
      <c r="A261" s="18" t="s">
        <v>120</v>
      </c>
      <c r="B261" s="18" t="s">
        <v>696</v>
      </c>
      <c r="C261" s="18" t="s">
        <v>122</v>
      </c>
      <c r="D261" s="18" t="s">
        <v>691</v>
      </c>
      <c r="E261" s="18" t="s">
        <v>697</v>
      </c>
      <c r="F261" s="19" t="n">
        <v>45795</v>
      </c>
      <c r="G261" s="18" t="s">
        <v>598</v>
      </c>
      <c r="H261" s="18" t="s">
        <v>126</v>
      </c>
      <c r="I261" s="18" t="s">
        <v>126</v>
      </c>
      <c r="J261" s="18" t="s">
        <v>126</v>
      </c>
      <c r="K261" s="18"/>
      <c r="L261" s="18" t="s">
        <v>171</v>
      </c>
      <c r="M261" s="18"/>
      <c r="N261" s="18" t="s">
        <v>172</v>
      </c>
    </row>
    <row r="262" customFormat="false" ht="15" hidden="false" customHeight="false" outlineLevel="0" collapsed="false">
      <c r="A262" s="18" t="s">
        <v>120</v>
      </c>
      <c r="B262" s="18" t="s">
        <v>698</v>
      </c>
      <c r="C262" s="18" t="s">
        <v>122</v>
      </c>
      <c r="D262" s="18" t="s">
        <v>691</v>
      </c>
      <c r="E262" s="18" t="s">
        <v>699</v>
      </c>
      <c r="F262" s="19" t="n">
        <v>45795</v>
      </c>
      <c r="G262" s="18" t="s">
        <v>598</v>
      </c>
      <c r="H262" s="18" t="s">
        <v>126</v>
      </c>
      <c r="I262" s="18" t="s">
        <v>126</v>
      </c>
      <c r="J262" s="18" t="s">
        <v>126</v>
      </c>
      <c r="K262" s="18"/>
      <c r="L262" s="18" t="s">
        <v>171</v>
      </c>
      <c r="M262" s="18"/>
      <c r="N262" s="18" t="s">
        <v>172</v>
      </c>
    </row>
    <row r="263" customFormat="false" ht="15" hidden="false" customHeight="false" outlineLevel="0" collapsed="false">
      <c r="A263" s="18" t="s">
        <v>120</v>
      </c>
      <c r="B263" s="18" t="s">
        <v>700</v>
      </c>
      <c r="C263" s="18" t="s">
        <v>194</v>
      </c>
      <c r="D263" s="18"/>
      <c r="E263" s="18" t="s">
        <v>701</v>
      </c>
      <c r="F263" s="19" t="n">
        <v>45796</v>
      </c>
      <c r="G263" s="18" t="s">
        <v>196</v>
      </c>
      <c r="H263" s="18" t="s">
        <v>165</v>
      </c>
      <c r="I263" s="18" t="s">
        <v>165</v>
      </c>
      <c r="J263" s="18" t="s">
        <v>126</v>
      </c>
      <c r="K263" s="18"/>
      <c r="L263" s="18" t="s">
        <v>59</v>
      </c>
      <c r="M263" s="22" t="s">
        <v>50</v>
      </c>
      <c r="N263" s="18" t="s">
        <v>141</v>
      </c>
    </row>
    <row r="264" customFormat="false" ht="15" hidden="false" customHeight="false" outlineLevel="0" collapsed="false">
      <c r="A264" s="18" t="s">
        <v>120</v>
      </c>
      <c r="B264" s="18" t="s">
        <v>702</v>
      </c>
      <c r="C264" s="18" t="s">
        <v>122</v>
      </c>
      <c r="D264" s="18" t="s">
        <v>701</v>
      </c>
      <c r="E264" s="18" t="s">
        <v>703</v>
      </c>
      <c r="F264" s="19" t="n">
        <v>45796</v>
      </c>
      <c r="G264" s="18" t="s">
        <v>244</v>
      </c>
      <c r="H264" s="18" t="s">
        <v>165</v>
      </c>
      <c r="I264" s="18" t="s">
        <v>126</v>
      </c>
      <c r="J264" s="18" t="s">
        <v>126</v>
      </c>
      <c r="K264" s="18"/>
      <c r="L264" s="18" t="s">
        <v>204</v>
      </c>
      <c r="M264" s="18"/>
      <c r="N264" s="18" t="s">
        <v>220</v>
      </c>
    </row>
    <row r="265" customFormat="false" ht="15" hidden="false" customHeight="false" outlineLevel="0" collapsed="false">
      <c r="A265" s="18" t="s">
        <v>120</v>
      </c>
      <c r="B265" s="18" t="s">
        <v>704</v>
      </c>
      <c r="C265" s="18" t="s">
        <v>194</v>
      </c>
      <c r="D265" s="18"/>
      <c r="E265" s="18" t="s">
        <v>705</v>
      </c>
      <c r="F265" s="19" t="n">
        <v>45799</v>
      </c>
      <c r="G265" s="18" t="s">
        <v>266</v>
      </c>
      <c r="H265" s="18" t="s">
        <v>165</v>
      </c>
      <c r="I265" s="18" t="s">
        <v>165</v>
      </c>
      <c r="J265" s="18" t="s">
        <v>126</v>
      </c>
      <c r="K265" s="18"/>
      <c r="L265" s="18" t="s">
        <v>72</v>
      </c>
      <c r="M265" s="20" t="s">
        <v>12</v>
      </c>
      <c r="N265" s="18" t="s">
        <v>150</v>
      </c>
    </row>
    <row r="266" customFormat="false" ht="15" hidden="false" customHeight="false" outlineLevel="0" collapsed="false">
      <c r="A266" s="18" t="s">
        <v>120</v>
      </c>
      <c r="B266" s="18" t="s">
        <v>706</v>
      </c>
      <c r="C266" s="18" t="s">
        <v>194</v>
      </c>
      <c r="D266" s="18"/>
      <c r="E266" s="18" t="s">
        <v>707</v>
      </c>
      <c r="F266" s="19" t="n">
        <v>45799</v>
      </c>
      <c r="G266" s="18" t="s">
        <v>208</v>
      </c>
      <c r="H266" s="18" t="s">
        <v>126</v>
      </c>
      <c r="I266" s="18" t="s">
        <v>126</v>
      </c>
      <c r="J266" s="18" t="s">
        <v>126</v>
      </c>
      <c r="K266" s="18"/>
      <c r="L266" s="18" t="s">
        <v>52</v>
      </c>
      <c r="M266" s="21" t="s">
        <v>15</v>
      </c>
      <c r="N266" s="18" t="s">
        <v>241</v>
      </c>
    </row>
    <row r="267" customFormat="false" ht="15" hidden="false" customHeight="false" outlineLevel="0" collapsed="false">
      <c r="A267" s="18" t="s">
        <v>120</v>
      </c>
      <c r="B267" s="18" t="s">
        <v>708</v>
      </c>
      <c r="C267" s="18" t="s">
        <v>194</v>
      </c>
      <c r="D267" s="18"/>
      <c r="E267" s="18" t="s">
        <v>709</v>
      </c>
      <c r="F267" s="19" t="n">
        <v>45799</v>
      </c>
      <c r="G267" s="18" t="s">
        <v>208</v>
      </c>
      <c r="H267" s="18" t="s">
        <v>126</v>
      </c>
      <c r="I267" s="18" t="s">
        <v>126</v>
      </c>
      <c r="J267" s="18" t="s">
        <v>126</v>
      </c>
      <c r="K267" s="18"/>
      <c r="L267" s="18" t="s">
        <v>36</v>
      </c>
      <c r="M267" s="21" t="s">
        <v>15</v>
      </c>
      <c r="N267" s="18" t="s">
        <v>439</v>
      </c>
    </row>
    <row r="268" customFormat="false" ht="15" hidden="false" customHeight="false" outlineLevel="0" collapsed="false">
      <c r="A268" s="18" t="s">
        <v>120</v>
      </c>
      <c r="B268" s="18" t="s">
        <v>710</v>
      </c>
      <c r="C268" s="18" t="s">
        <v>194</v>
      </c>
      <c r="D268" s="18"/>
      <c r="E268" s="18" t="s">
        <v>413</v>
      </c>
      <c r="F268" s="19" t="n">
        <v>45800</v>
      </c>
      <c r="G268" s="18" t="s">
        <v>203</v>
      </c>
      <c r="H268" s="18" t="s">
        <v>165</v>
      </c>
      <c r="I268" s="18" t="s">
        <v>126</v>
      </c>
      <c r="J268" s="18" t="s">
        <v>165</v>
      </c>
      <c r="K268" s="18" t="s">
        <v>209</v>
      </c>
      <c r="L268" s="18" t="s">
        <v>273</v>
      </c>
      <c r="M268" s="18"/>
      <c r="N268" s="18" t="s">
        <v>274</v>
      </c>
    </row>
    <row r="269" customFormat="false" ht="15" hidden="false" customHeight="false" outlineLevel="0" collapsed="false">
      <c r="A269" s="18" t="s">
        <v>120</v>
      </c>
      <c r="B269" s="18" t="s">
        <v>711</v>
      </c>
      <c r="C269" s="18" t="s">
        <v>122</v>
      </c>
      <c r="D269" s="18" t="s">
        <v>413</v>
      </c>
      <c r="E269" s="18" t="s">
        <v>597</v>
      </c>
      <c r="F269" s="19" t="n">
        <v>45800</v>
      </c>
      <c r="G269" s="18" t="s">
        <v>125</v>
      </c>
      <c r="H269" s="18" t="s">
        <v>126</v>
      </c>
      <c r="I269" s="18" t="s">
        <v>126</v>
      </c>
      <c r="J269" s="18" t="s">
        <v>126</v>
      </c>
      <c r="K269" s="18"/>
      <c r="L269" s="18" t="s">
        <v>204</v>
      </c>
      <c r="M269" s="18"/>
      <c r="N269" s="18" t="s">
        <v>220</v>
      </c>
    </row>
    <row r="270" customFormat="false" ht="15" hidden="false" customHeight="false" outlineLevel="0" collapsed="false">
      <c r="A270" s="18" t="s">
        <v>120</v>
      </c>
      <c r="B270" s="18" t="s">
        <v>712</v>
      </c>
      <c r="C270" s="18" t="s">
        <v>194</v>
      </c>
      <c r="D270" s="18"/>
      <c r="E270" s="18" t="s">
        <v>713</v>
      </c>
      <c r="F270" s="19" t="n">
        <v>45801</v>
      </c>
      <c r="G270" s="18" t="s">
        <v>208</v>
      </c>
      <c r="H270" s="18" t="s">
        <v>126</v>
      </c>
      <c r="I270" s="18" t="s">
        <v>126</v>
      </c>
      <c r="J270" s="18" t="s">
        <v>126</v>
      </c>
      <c r="K270" s="18"/>
      <c r="L270" s="18" t="s">
        <v>36</v>
      </c>
      <c r="M270" s="21" t="s">
        <v>15</v>
      </c>
      <c r="N270" s="18" t="s">
        <v>439</v>
      </c>
    </row>
    <row r="271" customFormat="false" ht="15" hidden="false" customHeight="false" outlineLevel="0" collapsed="false">
      <c r="A271" s="18" t="s">
        <v>120</v>
      </c>
      <c r="B271" s="18" t="s">
        <v>714</v>
      </c>
      <c r="C271" s="18" t="s">
        <v>122</v>
      </c>
      <c r="D271" s="18" t="s">
        <v>715</v>
      </c>
      <c r="E271" s="18" t="s">
        <v>146</v>
      </c>
      <c r="F271" s="19" t="n">
        <v>45804</v>
      </c>
      <c r="G271" s="18" t="s">
        <v>125</v>
      </c>
      <c r="H271" s="18" t="s">
        <v>126</v>
      </c>
      <c r="I271" s="18" t="s">
        <v>126</v>
      </c>
      <c r="J271" s="18" t="s">
        <v>126</v>
      </c>
      <c r="K271" s="18"/>
      <c r="L271" s="18" t="s">
        <v>11</v>
      </c>
      <c r="M271" s="20" t="s">
        <v>12</v>
      </c>
      <c r="N271" s="18" t="s">
        <v>147</v>
      </c>
    </row>
    <row r="272" customFormat="false" ht="15" hidden="false" customHeight="false" outlineLevel="0" collapsed="false">
      <c r="A272" s="18" t="s">
        <v>120</v>
      </c>
      <c r="B272" s="18" t="s">
        <v>716</v>
      </c>
      <c r="C272" s="18" t="s">
        <v>122</v>
      </c>
      <c r="D272" s="18" t="s">
        <v>715</v>
      </c>
      <c r="E272" s="18" t="s">
        <v>717</v>
      </c>
      <c r="F272" s="19" t="n">
        <v>45804</v>
      </c>
      <c r="G272" s="18" t="s">
        <v>125</v>
      </c>
      <c r="H272" s="18" t="s">
        <v>126</v>
      </c>
      <c r="I272" s="18" t="s">
        <v>126</v>
      </c>
      <c r="J272" s="18" t="s">
        <v>126</v>
      </c>
      <c r="K272" s="18"/>
      <c r="L272" s="18" t="s">
        <v>11</v>
      </c>
      <c r="M272" s="20" t="s">
        <v>12</v>
      </c>
      <c r="N272" s="18" t="s">
        <v>181</v>
      </c>
    </row>
    <row r="273" customFormat="false" ht="15" hidden="false" customHeight="false" outlineLevel="0" collapsed="false">
      <c r="A273" s="18" t="s">
        <v>120</v>
      </c>
      <c r="B273" s="18" t="s">
        <v>718</v>
      </c>
      <c r="C273" s="18" t="s">
        <v>122</v>
      </c>
      <c r="D273" s="18" t="s">
        <v>715</v>
      </c>
      <c r="E273" s="18" t="s">
        <v>383</v>
      </c>
      <c r="F273" s="19" t="n">
        <v>45804</v>
      </c>
      <c r="G273" s="18" t="s">
        <v>125</v>
      </c>
      <c r="H273" s="18" t="s">
        <v>126</v>
      </c>
      <c r="I273" s="18" t="s">
        <v>126</v>
      </c>
      <c r="J273" s="18" t="s">
        <v>126</v>
      </c>
      <c r="K273" s="18"/>
      <c r="L273" s="18" t="s">
        <v>11</v>
      </c>
      <c r="M273" s="20" t="s">
        <v>12</v>
      </c>
      <c r="N273" s="18" t="s">
        <v>181</v>
      </c>
    </row>
    <row r="274" customFormat="false" ht="15" hidden="false" customHeight="false" outlineLevel="0" collapsed="false">
      <c r="A274" s="18" t="s">
        <v>120</v>
      </c>
      <c r="B274" s="18" t="s">
        <v>719</v>
      </c>
      <c r="C274" s="18" t="s">
        <v>194</v>
      </c>
      <c r="D274" s="18"/>
      <c r="E274" s="18" t="s">
        <v>720</v>
      </c>
      <c r="F274" s="19" t="n">
        <v>45805</v>
      </c>
      <c r="G274" s="18" t="s">
        <v>196</v>
      </c>
      <c r="H274" s="18" t="s">
        <v>165</v>
      </c>
      <c r="I274" s="18" t="s">
        <v>165</v>
      </c>
      <c r="J274" s="18" t="s">
        <v>126</v>
      </c>
      <c r="K274" s="18"/>
      <c r="L274" s="18" t="s">
        <v>11</v>
      </c>
      <c r="M274" s="20" t="s">
        <v>12</v>
      </c>
      <c r="N274" s="18" t="s">
        <v>147</v>
      </c>
    </row>
    <row r="275" customFormat="false" ht="15" hidden="false" customHeight="false" outlineLevel="0" collapsed="false">
      <c r="A275" s="18" t="s">
        <v>120</v>
      </c>
      <c r="B275" s="18" t="s">
        <v>721</v>
      </c>
      <c r="C275" s="18" t="s">
        <v>194</v>
      </c>
      <c r="D275" s="18"/>
      <c r="E275" s="18" t="s">
        <v>722</v>
      </c>
      <c r="F275" s="19" t="n">
        <v>45805</v>
      </c>
      <c r="G275" s="18" t="s">
        <v>208</v>
      </c>
      <c r="H275" s="18" t="s">
        <v>126</v>
      </c>
      <c r="I275" s="18" t="s">
        <v>126</v>
      </c>
      <c r="J275" s="18" t="s">
        <v>165</v>
      </c>
      <c r="K275" s="18" t="s">
        <v>209</v>
      </c>
      <c r="L275" s="18" t="s">
        <v>273</v>
      </c>
      <c r="M275" s="18"/>
      <c r="N275" s="18" t="s">
        <v>274</v>
      </c>
    </row>
    <row r="276" customFormat="false" ht="15" hidden="false" customHeight="false" outlineLevel="0" collapsed="false">
      <c r="A276" s="18" t="s">
        <v>120</v>
      </c>
      <c r="B276" s="18" t="s">
        <v>723</v>
      </c>
      <c r="C276" s="18" t="s">
        <v>122</v>
      </c>
      <c r="D276" s="18" t="s">
        <v>722</v>
      </c>
      <c r="E276" s="18" t="s">
        <v>724</v>
      </c>
      <c r="F276" s="19" t="n">
        <v>45805</v>
      </c>
      <c r="G276" s="18" t="s">
        <v>203</v>
      </c>
      <c r="H276" s="18" t="s">
        <v>165</v>
      </c>
      <c r="I276" s="18" t="s">
        <v>126</v>
      </c>
      <c r="J276" s="18" t="s">
        <v>126</v>
      </c>
      <c r="K276" s="18"/>
      <c r="L276" s="18" t="s">
        <v>64</v>
      </c>
      <c r="M276" s="20" t="s">
        <v>12</v>
      </c>
      <c r="N276" s="18" t="s">
        <v>153</v>
      </c>
    </row>
    <row r="277" customFormat="false" ht="15" hidden="false" customHeight="false" outlineLevel="0" collapsed="false">
      <c r="A277" s="18" t="s">
        <v>120</v>
      </c>
      <c r="B277" s="18" t="s">
        <v>725</v>
      </c>
      <c r="C277" s="18" t="s">
        <v>122</v>
      </c>
      <c r="D277" s="18" t="s">
        <v>491</v>
      </c>
      <c r="E277" s="18" t="s">
        <v>305</v>
      </c>
      <c r="F277" s="19" t="n">
        <v>45807</v>
      </c>
      <c r="G277" s="18" t="s">
        <v>125</v>
      </c>
      <c r="H277" s="18" t="s">
        <v>126</v>
      </c>
      <c r="I277" s="18" t="s">
        <v>126</v>
      </c>
      <c r="J277" s="18" t="s">
        <v>126</v>
      </c>
      <c r="K277" s="18"/>
      <c r="L277" s="18" t="s">
        <v>42</v>
      </c>
      <c r="M277" s="22" t="s">
        <v>50</v>
      </c>
      <c r="N277" s="18" t="s">
        <v>305</v>
      </c>
    </row>
    <row r="278" customFormat="false" ht="15" hidden="false" customHeight="false" outlineLevel="0" collapsed="false">
      <c r="A278" s="18" t="s">
        <v>120</v>
      </c>
      <c r="B278" s="18" t="s">
        <v>726</v>
      </c>
      <c r="C278" s="18" t="s">
        <v>122</v>
      </c>
      <c r="D278" s="18" t="s">
        <v>491</v>
      </c>
      <c r="E278" s="18" t="s">
        <v>727</v>
      </c>
      <c r="F278" s="19" t="n">
        <v>45807</v>
      </c>
      <c r="G278" s="18" t="s">
        <v>125</v>
      </c>
      <c r="H278" s="18" t="s">
        <v>126</v>
      </c>
      <c r="I278" s="18" t="s">
        <v>126</v>
      </c>
      <c r="J278" s="18" t="s">
        <v>126</v>
      </c>
      <c r="K278" s="18"/>
      <c r="L278" s="18" t="s">
        <v>11</v>
      </c>
      <c r="M278" s="20" t="s">
        <v>12</v>
      </c>
      <c r="N278" s="18" t="s">
        <v>181</v>
      </c>
    </row>
    <row r="279" customFormat="false" ht="15" hidden="false" customHeight="false" outlineLevel="0" collapsed="false">
      <c r="A279" s="18" t="s">
        <v>120</v>
      </c>
      <c r="B279" s="18" t="s">
        <v>728</v>
      </c>
      <c r="C279" s="18" t="s">
        <v>194</v>
      </c>
      <c r="D279" s="18"/>
      <c r="E279" s="18" t="s">
        <v>729</v>
      </c>
      <c r="F279" s="19" t="n">
        <v>45811</v>
      </c>
      <c r="G279" s="18" t="s">
        <v>208</v>
      </c>
      <c r="H279" s="18" t="s">
        <v>126</v>
      </c>
      <c r="I279" s="18" t="s">
        <v>126</v>
      </c>
      <c r="J279" s="18" t="s">
        <v>126</v>
      </c>
      <c r="K279" s="18"/>
      <c r="L279" s="18" t="s">
        <v>210</v>
      </c>
      <c r="M279" s="18"/>
      <c r="N279" s="18" t="s">
        <v>211</v>
      </c>
    </row>
    <row r="280" customFormat="false" ht="15" hidden="false" customHeight="false" outlineLevel="0" collapsed="false">
      <c r="A280" s="18" t="s">
        <v>120</v>
      </c>
      <c r="B280" s="18" t="s">
        <v>730</v>
      </c>
      <c r="C280" s="18" t="s">
        <v>194</v>
      </c>
      <c r="D280" s="18"/>
      <c r="E280" s="18" t="s">
        <v>731</v>
      </c>
      <c r="F280" s="19" t="n">
        <v>45811</v>
      </c>
      <c r="G280" s="18" t="s">
        <v>208</v>
      </c>
      <c r="H280" s="18" t="s">
        <v>126</v>
      </c>
      <c r="I280" s="18" t="s">
        <v>126</v>
      </c>
      <c r="J280" s="18" t="s">
        <v>165</v>
      </c>
      <c r="K280" s="18" t="s">
        <v>166</v>
      </c>
      <c r="L280" s="18" t="s">
        <v>167</v>
      </c>
      <c r="M280" s="18"/>
      <c r="N280" s="18" t="s">
        <v>168</v>
      </c>
    </row>
    <row r="281" customFormat="false" ht="15" hidden="false" customHeight="false" outlineLevel="0" collapsed="false">
      <c r="A281" s="18" t="s">
        <v>120</v>
      </c>
      <c r="B281" s="18" t="s">
        <v>732</v>
      </c>
      <c r="C281" s="18" t="s">
        <v>194</v>
      </c>
      <c r="D281" s="18"/>
      <c r="E281" s="18" t="s">
        <v>733</v>
      </c>
      <c r="F281" s="19" t="n">
        <v>45811</v>
      </c>
      <c r="G281" s="18" t="s">
        <v>388</v>
      </c>
      <c r="H281" s="18" t="s">
        <v>165</v>
      </c>
      <c r="I281" s="18" t="s">
        <v>126</v>
      </c>
      <c r="J281" s="18" t="s">
        <v>126</v>
      </c>
      <c r="K281" s="18"/>
      <c r="L281" s="18" t="s">
        <v>210</v>
      </c>
      <c r="M281" s="18"/>
      <c r="N281" s="18" t="s">
        <v>211</v>
      </c>
    </row>
    <row r="282" customFormat="false" ht="15" hidden="false" customHeight="false" outlineLevel="0" collapsed="false">
      <c r="A282" s="18" t="s">
        <v>120</v>
      </c>
      <c r="B282" s="18" t="s">
        <v>734</v>
      </c>
      <c r="C282" s="18" t="s">
        <v>122</v>
      </c>
      <c r="D282" s="18" t="s">
        <v>733</v>
      </c>
      <c r="E282" s="18" t="s">
        <v>735</v>
      </c>
      <c r="F282" s="19" t="n">
        <v>45811</v>
      </c>
      <c r="G282" s="18" t="s">
        <v>196</v>
      </c>
      <c r="H282" s="18" t="s">
        <v>165</v>
      </c>
      <c r="I282" s="18" t="s">
        <v>165</v>
      </c>
      <c r="J282" s="18" t="s">
        <v>126</v>
      </c>
      <c r="K282" s="18"/>
      <c r="L282" s="18" t="s">
        <v>273</v>
      </c>
      <c r="M282" s="18"/>
      <c r="N282" s="18" t="s">
        <v>274</v>
      </c>
    </row>
    <row r="283" customFormat="false" ht="15" hidden="false" customHeight="false" outlineLevel="0" collapsed="false">
      <c r="A283" s="18" t="s">
        <v>120</v>
      </c>
      <c r="B283" s="18" t="s">
        <v>736</v>
      </c>
      <c r="C283" s="18" t="s">
        <v>194</v>
      </c>
      <c r="D283" s="18"/>
      <c r="E283" s="18" t="s">
        <v>715</v>
      </c>
      <c r="F283" s="19" t="n">
        <v>45812</v>
      </c>
      <c r="G283" s="18" t="s">
        <v>208</v>
      </c>
      <c r="H283" s="18" t="s">
        <v>126</v>
      </c>
      <c r="I283" s="18" t="s">
        <v>126</v>
      </c>
      <c r="J283" s="18" t="s">
        <v>165</v>
      </c>
      <c r="K283" s="18" t="s">
        <v>209</v>
      </c>
      <c r="L283" s="18" t="s">
        <v>34</v>
      </c>
      <c r="M283" s="20" t="s">
        <v>12</v>
      </c>
      <c r="N283" s="18" t="s">
        <v>34</v>
      </c>
    </row>
    <row r="284" customFormat="false" ht="15" hidden="false" customHeight="false" outlineLevel="0" collapsed="false">
      <c r="A284" s="18" t="s">
        <v>120</v>
      </c>
      <c r="B284" s="18" t="s">
        <v>737</v>
      </c>
      <c r="C284" s="18" t="s">
        <v>122</v>
      </c>
      <c r="D284" s="18" t="s">
        <v>715</v>
      </c>
      <c r="E284" s="18" t="s">
        <v>489</v>
      </c>
      <c r="F284" s="19" t="n">
        <v>45812</v>
      </c>
      <c r="G284" s="18" t="s">
        <v>125</v>
      </c>
      <c r="H284" s="18" t="s">
        <v>126</v>
      </c>
      <c r="I284" s="18" t="s">
        <v>126</v>
      </c>
      <c r="J284" s="18" t="s">
        <v>126</v>
      </c>
      <c r="K284" s="18"/>
      <c r="L284" s="18" t="s">
        <v>52</v>
      </c>
      <c r="M284" s="22" t="s">
        <v>50</v>
      </c>
      <c r="N284" s="18" t="s">
        <v>178</v>
      </c>
    </row>
    <row r="285" customFormat="false" ht="15" hidden="false" customHeight="false" outlineLevel="0" collapsed="false">
      <c r="A285" s="18" t="s">
        <v>120</v>
      </c>
      <c r="B285" s="18" t="s">
        <v>738</v>
      </c>
      <c r="C285" s="18" t="s">
        <v>122</v>
      </c>
      <c r="D285" s="18" t="s">
        <v>715</v>
      </c>
      <c r="E285" s="18" t="s">
        <v>739</v>
      </c>
      <c r="F285" s="19" t="n">
        <v>45812</v>
      </c>
      <c r="G285" s="18" t="s">
        <v>125</v>
      </c>
      <c r="H285" s="18" t="s">
        <v>126</v>
      </c>
      <c r="I285" s="18" t="s">
        <v>126</v>
      </c>
      <c r="J285" s="18" t="s">
        <v>126</v>
      </c>
      <c r="K285" s="18"/>
      <c r="L285" s="18" t="s">
        <v>52</v>
      </c>
      <c r="M285" s="22" t="s">
        <v>50</v>
      </c>
      <c r="N285" s="18" t="s">
        <v>178</v>
      </c>
    </row>
    <row r="286" customFormat="false" ht="15" hidden="false" customHeight="false" outlineLevel="0" collapsed="false">
      <c r="A286" s="18" t="s">
        <v>120</v>
      </c>
      <c r="B286" s="18" t="s">
        <v>740</v>
      </c>
      <c r="C286" s="18" t="s">
        <v>122</v>
      </c>
      <c r="D286" s="18" t="s">
        <v>715</v>
      </c>
      <c r="E286" s="18" t="s">
        <v>741</v>
      </c>
      <c r="F286" s="19" t="n">
        <v>45812</v>
      </c>
      <c r="G286" s="18" t="s">
        <v>125</v>
      </c>
      <c r="H286" s="18" t="s">
        <v>126</v>
      </c>
      <c r="I286" s="18" t="s">
        <v>126</v>
      </c>
      <c r="J286" s="18" t="s">
        <v>126</v>
      </c>
      <c r="K286" s="18"/>
      <c r="L286" s="18" t="s">
        <v>171</v>
      </c>
      <c r="M286" s="18"/>
      <c r="N286" s="18" t="s">
        <v>172</v>
      </c>
    </row>
    <row r="287" customFormat="false" ht="15" hidden="false" customHeight="false" outlineLevel="0" collapsed="false">
      <c r="A287" s="18" t="s">
        <v>120</v>
      </c>
      <c r="B287" s="18" t="s">
        <v>742</v>
      </c>
      <c r="C287" s="18" t="s">
        <v>122</v>
      </c>
      <c r="D287" s="18" t="s">
        <v>715</v>
      </c>
      <c r="E287" s="18" t="s">
        <v>597</v>
      </c>
      <c r="F287" s="19" t="n">
        <v>45812</v>
      </c>
      <c r="G287" s="18" t="s">
        <v>125</v>
      </c>
      <c r="H287" s="18" t="s">
        <v>126</v>
      </c>
      <c r="I287" s="18" t="s">
        <v>126</v>
      </c>
      <c r="J287" s="18" t="s">
        <v>126</v>
      </c>
      <c r="K287" s="18"/>
      <c r="L287" s="18" t="s">
        <v>204</v>
      </c>
      <c r="M287" s="18"/>
      <c r="N287" s="18" t="s">
        <v>220</v>
      </c>
    </row>
    <row r="288" customFormat="false" ht="15" hidden="false" customHeight="false" outlineLevel="0" collapsed="false">
      <c r="A288" s="18" t="s">
        <v>120</v>
      </c>
      <c r="B288" s="18" t="s">
        <v>743</v>
      </c>
      <c r="C288" s="18" t="s">
        <v>122</v>
      </c>
      <c r="D288" s="18" t="s">
        <v>715</v>
      </c>
      <c r="E288" s="18" t="s">
        <v>744</v>
      </c>
      <c r="F288" s="19" t="n">
        <v>45812</v>
      </c>
      <c r="G288" s="18" t="s">
        <v>196</v>
      </c>
      <c r="H288" s="18" t="s">
        <v>165</v>
      </c>
      <c r="I288" s="18" t="s">
        <v>165</v>
      </c>
      <c r="J288" s="18" t="s">
        <v>126</v>
      </c>
      <c r="K288" s="18"/>
      <c r="L288" s="18" t="s">
        <v>171</v>
      </c>
      <c r="M288" s="18"/>
      <c r="N288" s="18" t="s">
        <v>172</v>
      </c>
    </row>
    <row r="289" customFormat="false" ht="15" hidden="false" customHeight="false" outlineLevel="0" collapsed="false">
      <c r="A289" s="18" t="s">
        <v>120</v>
      </c>
      <c r="B289" s="18" t="s">
        <v>745</v>
      </c>
      <c r="C289" s="18" t="s">
        <v>122</v>
      </c>
      <c r="D289" s="18" t="s">
        <v>715</v>
      </c>
      <c r="E289" s="18" t="s">
        <v>746</v>
      </c>
      <c r="F289" s="19" t="n">
        <v>45812</v>
      </c>
      <c r="G289" s="18" t="s">
        <v>196</v>
      </c>
      <c r="H289" s="18" t="s">
        <v>165</v>
      </c>
      <c r="I289" s="18" t="s">
        <v>165</v>
      </c>
      <c r="J289" s="18" t="s">
        <v>126</v>
      </c>
      <c r="K289" s="18"/>
      <c r="L289" s="18" t="s">
        <v>52</v>
      </c>
      <c r="M289" s="22" t="s">
        <v>50</v>
      </c>
      <c r="N289" s="18" t="s">
        <v>178</v>
      </c>
    </row>
    <row r="290" customFormat="false" ht="15" hidden="false" customHeight="false" outlineLevel="0" collapsed="false">
      <c r="A290" s="18" t="s">
        <v>120</v>
      </c>
      <c r="B290" s="18" t="s">
        <v>747</v>
      </c>
      <c r="C290" s="18" t="s">
        <v>122</v>
      </c>
      <c r="D290" s="18" t="s">
        <v>491</v>
      </c>
      <c r="E290" s="18" t="s">
        <v>748</v>
      </c>
      <c r="F290" s="19" t="n">
        <v>45812</v>
      </c>
      <c r="G290" s="18" t="s">
        <v>125</v>
      </c>
      <c r="H290" s="18" t="s">
        <v>126</v>
      </c>
      <c r="I290" s="18" t="s">
        <v>126</v>
      </c>
      <c r="J290" s="18" t="s">
        <v>126</v>
      </c>
      <c r="K290" s="18"/>
      <c r="L290" s="18" t="s">
        <v>56</v>
      </c>
      <c r="M290" s="20" t="s">
        <v>12</v>
      </c>
      <c r="N290" s="18" t="s">
        <v>268</v>
      </c>
    </row>
    <row r="291" customFormat="false" ht="15" hidden="false" customHeight="false" outlineLevel="0" collapsed="false">
      <c r="A291" s="18" t="s">
        <v>120</v>
      </c>
      <c r="B291" s="18" t="s">
        <v>749</v>
      </c>
      <c r="C291" s="18" t="s">
        <v>194</v>
      </c>
      <c r="D291" s="18"/>
      <c r="E291" s="18" t="s">
        <v>491</v>
      </c>
      <c r="F291" s="19" t="n">
        <v>45813</v>
      </c>
      <c r="G291" s="18" t="s">
        <v>208</v>
      </c>
      <c r="H291" s="18" t="s">
        <v>126</v>
      </c>
      <c r="I291" s="18" t="s">
        <v>126</v>
      </c>
      <c r="J291" s="18" t="s">
        <v>165</v>
      </c>
      <c r="K291" s="18" t="s">
        <v>209</v>
      </c>
      <c r="L291" s="18" t="s">
        <v>273</v>
      </c>
      <c r="M291" s="18"/>
      <c r="N291" s="18" t="s">
        <v>274</v>
      </c>
    </row>
    <row r="292" customFormat="false" ht="15" hidden="false" customHeight="false" outlineLevel="0" collapsed="false">
      <c r="A292" s="18" t="s">
        <v>120</v>
      </c>
      <c r="B292" s="18" t="s">
        <v>750</v>
      </c>
      <c r="C292" s="18" t="s">
        <v>122</v>
      </c>
      <c r="D292" s="18" t="s">
        <v>491</v>
      </c>
      <c r="E292" s="18" t="s">
        <v>751</v>
      </c>
      <c r="F292" s="19" t="n">
        <v>45813</v>
      </c>
      <c r="G292" s="18" t="s">
        <v>125</v>
      </c>
      <c r="H292" s="18" t="s">
        <v>126</v>
      </c>
      <c r="I292" s="18" t="s">
        <v>126</v>
      </c>
      <c r="J292" s="18" t="s">
        <v>126</v>
      </c>
      <c r="K292" s="18"/>
      <c r="L292" s="18" t="s">
        <v>47</v>
      </c>
      <c r="M292" s="22" t="s">
        <v>50</v>
      </c>
      <c r="N292" s="18" t="s">
        <v>752</v>
      </c>
    </row>
    <row r="293" customFormat="false" ht="15" hidden="false" customHeight="false" outlineLevel="0" collapsed="false">
      <c r="A293" s="18" t="s">
        <v>120</v>
      </c>
      <c r="B293" s="18" t="s">
        <v>753</v>
      </c>
      <c r="C293" s="18" t="s">
        <v>194</v>
      </c>
      <c r="D293" s="18"/>
      <c r="E293" s="18" t="s">
        <v>754</v>
      </c>
      <c r="F293" s="19" t="n">
        <v>45814</v>
      </c>
      <c r="G293" s="18" t="s">
        <v>208</v>
      </c>
      <c r="H293" s="18" t="s">
        <v>126</v>
      </c>
      <c r="I293" s="18" t="s">
        <v>126</v>
      </c>
      <c r="J293" s="18" t="s">
        <v>126</v>
      </c>
      <c r="K293" s="18"/>
      <c r="L293" s="18" t="s">
        <v>11</v>
      </c>
      <c r="M293" s="20" t="s">
        <v>12</v>
      </c>
      <c r="N293" s="18" t="s">
        <v>181</v>
      </c>
    </row>
    <row r="294" customFormat="false" ht="15" hidden="false" customHeight="false" outlineLevel="0" collapsed="false">
      <c r="A294" s="18" t="s">
        <v>120</v>
      </c>
      <c r="B294" s="18" t="s">
        <v>755</v>
      </c>
      <c r="C294" s="18" t="s">
        <v>194</v>
      </c>
      <c r="D294" s="18"/>
      <c r="E294" s="18" t="s">
        <v>756</v>
      </c>
      <c r="F294" s="19" t="n">
        <v>45814</v>
      </c>
      <c r="G294" s="18" t="s">
        <v>208</v>
      </c>
      <c r="H294" s="18" t="s">
        <v>126</v>
      </c>
      <c r="I294" s="18" t="s">
        <v>126</v>
      </c>
      <c r="J294" s="18" t="s">
        <v>126</v>
      </c>
      <c r="K294" s="18"/>
      <c r="L294" s="18" t="s">
        <v>49</v>
      </c>
      <c r="M294" s="22" t="s">
        <v>50</v>
      </c>
      <c r="N294" s="18" t="s">
        <v>230</v>
      </c>
    </row>
    <row r="295" customFormat="false" ht="15" hidden="false" customHeight="false" outlineLevel="0" collapsed="false">
      <c r="A295" s="18" t="s">
        <v>120</v>
      </c>
      <c r="B295" s="18" t="s">
        <v>757</v>
      </c>
      <c r="C295" s="18" t="s">
        <v>194</v>
      </c>
      <c r="D295" s="18"/>
      <c r="E295" s="18" t="s">
        <v>758</v>
      </c>
      <c r="F295" s="19" t="n">
        <v>45814.1666666667</v>
      </c>
      <c r="G295" s="18" t="s">
        <v>208</v>
      </c>
      <c r="H295" s="18" t="s">
        <v>126</v>
      </c>
      <c r="I295" s="18" t="s">
        <v>126</v>
      </c>
      <c r="J295" s="18" t="s">
        <v>126</v>
      </c>
      <c r="K295" s="18"/>
      <c r="L295" s="18" t="s">
        <v>59</v>
      </c>
      <c r="M295" s="22" t="s">
        <v>50</v>
      </c>
      <c r="N295" s="18" t="s">
        <v>141</v>
      </c>
    </row>
    <row r="296" customFormat="false" ht="15" hidden="false" customHeight="false" outlineLevel="0" collapsed="false">
      <c r="A296" s="18" t="s">
        <v>120</v>
      </c>
      <c r="B296" s="18" t="s">
        <v>759</v>
      </c>
      <c r="C296" s="18" t="s">
        <v>194</v>
      </c>
      <c r="D296" s="18"/>
      <c r="E296" s="18" t="s">
        <v>760</v>
      </c>
      <c r="F296" s="19" t="n">
        <v>45817</v>
      </c>
      <c r="G296" s="18" t="s">
        <v>208</v>
      </c>
      <c r="H296" s="18" t="s">
        <v>126</v>
      </c>
      <c r="I296" s="18" t="s">
        <v>126</v>
      </c>
      <c r="J296" s="18" t="s">
        <v>126</v>
      </c>
      <c r="K296" s="18"/>
      <c r="L296" s="18" t="s">
        <v>36</v>
      </c>
      <c r="M296" s="21" t="s">
        <v>15</v>
      </c>
      <c r="N296" s="18" t="s">
        <v>439</v>
      </c>
    </row>
    <row r="297" customFormat="false" ht="15" hidden="false" customHeight="false" outlineLevel="0" collapsed="false">
      <c r="A297" s="18" t="s">
        <v>120</v>
      </c>
      <c r="B297" s="18" t="s">
        <v>761</v>
      </c>
      <c r="C297" s="18" t="s">
        <v>194</v>
      </c>
      <c r="D297" s="18"/>
      <c r="E297" s="18" t="s">
        <v>762</v>
      </c>
      <c r="F297" s="19" t="n">
        <v>45818</v>
      </c>
      <c r="G297" s="18" t="s">
        <v>208</v>
      </c>
      <c r="H297" s="18" t="s">
        <v>126</v>
      </c>
      <c r="I297" s="18" t="s">
        <v>126</v>
      </c>
      <c r="J297" s="18" t="s">
        <v>126</v>
      </c>
      <c r="K297" s="18"/>
      <c r="L297" s="18" t="s">
        <v>23</v>
      </c>
      <c r="M297" s="20" t="s">
        <v>12</v>
      </c>
      <c r="N297" s="18" t="s">
        <v>572</v>
      </c>
    </row>
    <row r="298" customFormat="false" ht="15" hidden="false" customHeight="false" outlineLevel="0" collapsed="false">
      <c r="A298" s="18" t="s">
        <v>120</v>
      </c>
      <c r="B298" s="18" t="s">
        <v>763</v>
      </c>
      <c r="C298" s="18" t="s">
        <v>194</v>
      </c>
      <c r="D298" s="18"/>
      <c r="E298" s="18" t="s">
        <v>343</v>
      </c>
      <c r="F298" s="19" t="n">
        <v>45824</v>
      </c>
      <c r="G298" s="18" t="s">
        <v>208</v>
      </c>
      <c r="H298" s="18" t="s">
        <v>126</v>
      </c>
      <c r="I298" s="18" t="s">
        <v>126</v>
      </c>
      <c r="J298" s="18" t="s">
        <v>165</v>
      </c>
      <c r="K298" s="18" t="s">
        <v>209</v>
      </c>
      <c r="L298" s="18" t="s">
        <v>56</v>
      </c>
      <c r="M298" s="20" t="s">
        <v>12</v>
      </c>
      <c r="N298" s="18" t="s">
        <v>268</v>
      </c>
    </row>
    <row r="299" customFormat="false" ht="15" hidden="false" customHeight="false" outlineLevel="0" collapsed="false">
      <c r="A299" s="18" t="s">
        <v>764</v>
      </c>
      <c r="B299" s="18" t="s">
        <v>765</v>
      </c>
      <c r="C299" s="18" t="s">
        <v>194</v>
      </c>
      <c r="D299" s="18"/>
      <c r="E299" s="18" t="s">
        <v>766</v>
      </c>
      <c r="F299" s="19" t="n">
        <v>45810</v>
      </c>
      <c r="G299" s="18" t="s">
        <v>125</v>
      </c>
      <c r="H299" s="18" t="s">
        <v>126</v>
      </c>
      <c r="I299" s="18" t="s">
        <v>126</v>
      </c>
      <c r="J299" s="18" t="s">
        <v>126</v>
      </c>
      <c r="K299" s="18"/>
      <c r="L299" s="18" t="s">
        <v>204</v>
      </c>
      <c r="M299" s="18"/>
      <c r="N299" s="18" t="s">
        <v>606</v>
      </c>
    </row>
    <row r="300" customFormat="false" ht="15" hidden="false" customHeight="false" outlineLevel="0" collapsed="false">
      <c r="A300" s="18" t="s">
        <v>764</v>
      </c>
      <c r="B300" s="18" t="s">
        <v>767</v>
      </c>
      <c r="C300" s="18" t="s">
        <v>194</v>
      </c>
      <c r="D300" s="18"/>
      <c r="E300" s="18" t="s">
        <v>768</v>
      </c>
      <c r="F300" s="19" t="n">
        <v>45810</v>
      </c>
      <c r="G300" s="18" t="s">
        <v>125</v>
      </c>
      <c r="H300" s="18" t="s">
        <v>126</v>
      </c>
      <c r="I300" s="18" t="s">
        <v>126</v>
      </c>
      <c r="J300" s="18" t="s">
        <v>126</v>
      </c>
      <c r="K300" s="18"/>
      <c r="L300" s="18" t="s">
        <v>36</v>
      </c>
      <c r="M300" s="22" t="s">
        <v>50</v>
      </c>
      <c r="N300" s="18" t="s">
        <v>243</v>
      </c>
    </row>
    <row r="301" customFormat="false" ht="15" hidden="false" customHeight="false" outlineLevel="0" collapsed="false">
      <c r="A301" s="18" t="s">
        <v>764</v>
      </c>
      <c r="B301" s="18" t="s">
        <v>769</v>
      </c>
      <c r="C301" s="18" t="s">
        <v>194</v>
      </c>
      <c r="D301" s="18"/>
      <c r="E301" s="18" t="s">
        <v>770</v>
      </c>
      <c r="F301" s="19" t="n">
        <v>45811</v>
      </c>
      <c r="G301" s="18" t="s">
        <v>125</v>
      </c>
      <c r="H301" s="18" t="s">
        <v>126</v>
      </c>
      <c r="I301" s="18" t="s">
        <v>126</v>
      </c>
      <c r="J301" s="18" t="s">
        <v>126</v>
      </c>
      <c r="K301" s="18"/>
      <c r="L301" s="18" t="s">
        <v>171</v>
      </c>
      <c r="M301" s="18"/>
      <c r="N301" s="18" t="s">
        <v>172</v>
      </c>
    </row>
    <row r="302" customFormat="false" ht="15" hidden="false" customHeight="false" outlineLevel="0" collapsed="false">
      <c r="A302" s="18" t="s">
        <v>764</v>
      </c>
      <c r="B302" s="18" t="s">
        <v>771</v>
      </c>
      <c r="C302" s="18" t="s">
        <v>194</v>
      </c>
      <c r="D302" s="18"/>
      <c r="E302" s="18" t="s">
        <v>772</v>
      </c>
      <c r="F302" s="19" t="n">
        <v>45811</v>
      </c>
      <c r="G302" s="18" t="s">
        <v>196</v>
      </c>
      <c r="H302" s="18" t="s">
        <v>165</v>
      </c>
      <c r="I302" s="18" t="s">
        <v>165</v>
      </c>
      <c r="J302" s="18" t="s">
        <v>126</v>
      </c>
      <c r="K302" s="18"/>
      <c r="L302" s="18" t="s">
        <v>273</v>
      </c>
      <c r="M302" s="18"/>
      <c r="N302" s="18" t="s">
        <v>274</v>
      </c>
    </row>
    <row r="303" customFormat="false" ht="15" hidden="false" customHeight="false" outlineLevel="0" collapsed="false">
      <c r="A303" s="18" t="s">
        <v>764</v>
      </c>
      <c r="B303" s="18" t="s">
        <v>773</v>
      </c>
      <c r="C303" s="18" t="s">
        <v>194</v>
      </c>
      <c r="D303" s="18"/>
      <c r="E303" s="18" t="s">
        <v>774</v>
      </c>
      <c r="F303" s="19" t="n">
        <v>45813</v>
      </c>
      <c r="G303" s="18" t="s">
        <v>125</v>
      </c>
      <c r="H303" s="18" t="s">
        <v>126</v>
      </c>
      <c r="I303" s="18" t="s">
        <v>126</v>
      </c>
      <c r="J303" s="18" t="s">
        <v>126</v>
      </c>
      <c r="K303" s="18"/>
      <c r="L303" s="18" t="s">
        <v>204</v>
      </c>
      <c r="M303" s="18"/>
      <c r="N303" s="18" t="s">
        <v>606</v>
      </c>
    </row>
    <row r="304" customFormat="false" ht="15" hidden="false" customHeight="false" outlineLevel="0" collapsed="false">
      <c r="A304" s="18" t="s">
        <v>764</v>
      </c>
      <c r="B304" s="18" t="s">
        <v>775</v>
      </c>
      <c r="C304" s="18" t="s">
        <v>194</v>
      </c>
      <c r="D304" s="18"/>
      <c r="E304" s="18" t="s">
        <v>776</v>
      </c>
      <c r="F304" s="19" t="n">
        <v>45814</v>
      </c>
      <c r="G304" s="18" t="s">
        <v>125</v>
      </c>
      <c r="H304" s="18" t="s">
        <v>126</v>
      </c>
      <c r="I304" s="18" t="s">
        <v>126</v>
      </c>
      <c r="J304" s="18" t="s">
        <v>126</v>
      </c>
      <c r="K304" s="18"/>
      <c r="L304" s="18" t="s">
        <v>204</v>
      </c>
      <c r="M304" s="18"/>
      <c r="N304" s="18" t="s">
        <v>220</v>
      </c>
    </row>
    <row r="305" customFormat="false" ht="15" hidden="false" customHeight="false" outlineLevel="0" collapsed="false">
      <c r="A305" s="18" t="s">
        <v>764</v>
      </c>
      <c r="B305" s="18" t="s">
        <v>777</v>
      </c>
      <c r="C305" s="18" t="s">
        <v>194</v>
      </c>
      <c r="D305" s="18"/>
      <c r="E305" s="18" t="s">
        <v>778</v>
      </c>
      <c r="F305" s="19" t="n">
        <v>45814</v>
      </c>
      <c r="G305" s="18" t="s">
        <v>196</v>
      </c>
      <c r="H305" s="18" t="s">
        <v>165</v>
      </c>
      <c r="I305" s="18" t="s">
        <v>165</v>
      </c>
      <c r="J305" s="18" t="s">
        <v>126</v>
      </c>
      <c r="K305" s="18"/>
      <c r="L305" s="18" t="s">
        <v>52</v>
      </c>
      <c r="M305" s="22" t="s">
        <v>50</v>
      </c>
      <c r="N305" s="18" t="s">
        <v>178</v>
      </c>
    </row>
    <row r="306" customFormat="false" ht="15" hidden="false" customHeight="false" outlineLevel="0" collapsed="false">
      <c r="A306" s="18" t="s">
        <v>764</v>
      </c>
      <c r="B306" s="18" t="s">
        <v>779</v>
      </c>
      <c r="C306" s="18" t="s">
        <v>194</v>
      </c>
      <c r="D306" s="18"/>
      <c r="E306" s="18" t="s">
        <v>780</v>
      </c>
      <c r="F306" s="19" t="n">
        <v>45818</v>
      </c>
      <c r="G306" s="18" t="s">
        <v>125</v>
      </c>
      <c r="H306" s="18" t="s">
        <v>126</v>
      </c>
      <c r="I306" s="18" t="s">
        <v>126</v>
      </c>
      <c r="J306" s="18" t="s">
        <v>126</v>
      </c>
      <c r="K306" s="18"/>
      <c r="L306" s="18" t="s">
        <v>52</v>
      </c>
      <c r="M306" s="22" t="s">
        <v>50</v>
      </c>
      <c r="N306" s="18" t="s">
        <v>178</v>
      </c>
    </row>
    <row r="307" customFormat="false" ht="15" hidden="false" customHeight="false" outlineLevel="0" collapsed="false">
      <c r="A307" s="18" t="s">
        <v>764</v>
      </c>
      <c r="B307" s="18" t="s">
        <v>781</v>
      </c>
      <c r="C307" s="18" t="s">
        <v>194</v>
      </c>
      <c r="D307" s="18"/>
      <c r="E307" s="18" t="s">
        <v>782</v>
      </c>
      <c r="F307" s="19" t="n">
        <v>45819</v>
      </c>
      <c r="G307" s="18" t="s">
        <v>196</v>
      </c>
      <c r="H307" s="18" t="s">
        <v>165</v>
      </c>
      <c r="I307" s="18" t="s">
        <v>165</v>
      </c>
      <c r="J307" s="18" t="s">
        <v>126</v>
      </c>
      <c r="K307" s="18"/>
      <c r="L307" s="18" t="s">
        <v>52</v>
      </c>
      <c r="M307" s="22" t="s">
        <v>50</v>
      </c>
      <c r="N307" s="18" t="s">
        <v>178</v>
      </c>
    </row>
    <row r="308" customFormat="false" ht="15" hidden="false" customHeight="false" outlineLevel="0" collapsed="false">
      <c r="A308" s="18" t="s">
        <v>764</v>
      </c>
      <c r="B308" s="18" t="s">
        <v>783</v>
      </c>
      <c r="C308" s="18" t="s">
        <v>194</v>
      </c>
      <c r="D308" s="18"/>
      <c r="E308" s="18" t="s">
        <v>784</v>
      </c>
      <c r="F308" s="19" t="n">
        <v>45819</v>
      </c>
      <c r="G308" s="18" t="s">
        <v>196</v>
      </c>
      <c r="H308" s="18" t="s">
        <v>165</v>
      </c>
      <c r="I308" s="18" t="s">
        <v>165</v>
      </c>
      <c r="J308" s="18" t="s">
        <v>126</v>
      </c>
      <c r="K308" s="18"/>
      <c r="L308" s="18" t="s">
        <v>171</v>
      </c>
      <c r="M308" s="18"/>
      <c r="N308" s="18" t="s">
        <v>172</v>
      </c>
    </row>
    <row r="309" customFormat="false" ht="15" hidden="false" customHeight="false" outlineLevel="0" collapsed="false">
      <c r="A309" s="18" t="s">
        <v>764</v>
      </c>
      <c r="B309" s="18" t="s">
        <v>785</v>
      </c>
      <c r="C309" s="18" t="s">
        <v>194</v>
      </c>
      <c r="D309" s="18"/>
      <c r="E309" s="18" t="s">
        <v>786</v>
      </c>
      <c r="F309" s="19" t="n">
        <v>45819</v>
      </c>
      <c r="G309" s="18" t="s">
        <v>125</v>
      </c>
      <c r="H309" s="18" t="s">
        <v>126</v>
      </c>
      <c r="I309" s="18" t="s">
        <v>126</v>
      </c>
      <c r="J309" s="18" t="s">
        <v>126</v>
      </c>
      <c r="K309" s="18"/>
      <c r="L309" s="18" t="s">
        <v>54</v>
      </c>
      <c r="M309" s="22" t="s">
        <v>50</v>
      </c>
      <c r="N309" s="18" t="s">
        <v>278</v>
      </c>
    </row>
    <row r="310" customFormat="false" ht="15" hidden="false" customHeight="false" outlineLevel="0" collapsed="false">
      <c r="A310" s="18" t="s">
        <v>764</v>
      </c>
      <c r="B310" s="18" t="s">
        <v>787</v>
      </c>
      <c r="C310" s="18" t="s">
        <v>194</v>
      </c>
      <c r="D310" s="18"/>
      <c r="E310" s="18" t="s">
        <v>788</v>
      </c>
      <c r="F310" s="19" t="n">
        <v>45819</v>
      </c>
      <c r="G310" s="18" t="s">
        <v>125</v>
      </c>
      <c r="H310" s="18" t="s">
        <v>126</v>
      </c>
      <c r="I310" s="18" t="s">
        <v>126</v>
      </c>
      <c r="J310" s="18" t="s">
        <v>126</v>
      </c>
      <c r="K310" s="18"/>
      <c r="L310" s="18" t="s">
        <v>52</v>
      </c>
      <c r="M310" s="22" t="s">
        <v>50</v>
      </c>
      <c r="N310" s="18" t="s">
        <v>178</v>
      </c>
    </row>
    <row r="311" customFormat="false" ht="15" hidden="false" customHeight="false" outlineLevel="0" collapsed="false">
      <c r="A311" s="18" t="s">
        <v>764</v>
      </c>
      <c r="B311" s="18" t="s">
        <v>789</v>
      </c>
      <c r="C311" s="18" t="s">
        <v>194</v>
      </c>
      <c r="D311" s="18"/>
      <c r="E311" s="18" t="s">
        <v>790</v>
      </c>
      <c r="F311" s="19" t="n">
        <v>45819</v>
      </c>
      <c r="G311" s="18" t="s">
        <v>125</v>
      </c>
      <c r="H311" s="18" t="s">
        <v>126</v>
      </c>
      <c r="I311" s="18" t="s">
        <v>126</v>
      </c>
      <c r="J311" s="18" t="s">
        <v>126</v>
      </c>
      <c r="K311" s="18"/>
      <c r="L311" s="18" t="s">
        <v>204</v>
      </c>
      <c r="M311" s="18"/>
      <c r="N311" s="18" t="s">
        <v>220</v>
      </c>
    </row>
    <row r="312" customFormat="false" ht="15" hidden="false" customHeight="false" outlineLevel="0" collapsed="false">
      <c r="A312" s="18" t="s">
        <v>764</v>
      </c>
      <c r="B312" s="18" t="s">
        <v>791</v>
      </c>
      <c r="C312" s="18" t="s">
        <v>194</v>
      </c>
      <c r="D312" s="18"/>
      <c r="E312" s="18" t="s">
        <v>792</v>
      </c>
      <c r="F312" s="19" t="n">
        <v>45819</v>
      </c>
      <c r="G312" s="18" t="s">
        <v>125</v>
      </c>
      <c r="H312" s="18" t="s">
        <v>126</v>
      </c>
      <c r="I312" s="18" t="s">
        <v>126</v>
      </c>
      <c r="J312" s="18" t="s">
        <v>126</v>
      </c>
      <c r="K312" s="18"/>
      <c r="L312" s="18" t="s">
        <v>52</v>
      </c>
      <c r="M312" s="22" t="s">
        <v>50</v>
      </c>
      <c r="N312" s="18" t="s">
        <v>178</v>
      </c>
    </row>
    <row r="313" customFormat="false" ht="15" hidden="false" customHeight="false" outlineLevel="0" collapsed="false">
      <c r="A313" s="18" t="s">
        <v>764</v>
      </c>
      <c r="B313" s="18" t="s">
        <v>793</v>
      </c>
      <c r="C313" s="18" t="s">
        <v>194</v>
      </c>
      <c r="D313" s="18"/>
      <c r="E313" s="18" t="s">
        <v>794</v>
      </c>
      <c r="F313" s="19" t="n">
        <v>45819</v>
      </c>
      <c r="G313" s="18" t="s">
        <v>125</v>
      </c>
      <c r="H313" s="18" t="s">
        <v>126</v>
      </c>
      <c r="I313" s="18" t="s">
        <v>126</v>
      </c>
      <c r="J313" s="18" t="s">
        <v>126</v>
      </c>
      <c r="K313" s="18"/>
      <c r="L313" s="18" t="s">
        <v>52</v>
      </c>
      <c r="M313" s="22" t="s">
        <v>50</v>
      </c>
      <c r="N313" s="18" t="s">
        <v>178</v>
      </c>
    </row>
    <row r="314" customFormat="false" ht="15" hidden="false" customHeight="false" outlineLevel="0" collapsed="false">
      <c r="A314" s="18" t="s">
        <v>764</v>
      </c>
      <c r="B314" s="18" t="s">
        <v>795</v>
      </c>
      <c r="C314" s="18" t="s">
        <v>194</v>
      </c>
      <c r="D314" s="18"/>
      <c r="E314" s="18" t="s">
        <v>796</v>
      </c>
      <c r="F314" s="19" t="n">
        <v>45819</v>
      </c>
      <c r="G314" s="18" t="s">
        <v>125</v>
      </c>
      <c r="H314" s="18" t="s">
        <v>126</v>
      </c>
      <c r="I314" s="18" t="s">
        <v>126</v>
      </c>
      <c r="J314" s="18" t="s">
        <v>126</v>
      </c>
      <c r="K314" s="18"/>
      <c r="L314" s="18" t="s">
        <v>59</v>
      </c>
      <c r="M314" s="22" t="s">
        <v>50</v>
      </c>
      <c r="N314" s="18" t="s">
        <v>141</v>
      </c>
    </row>
    <row r="315" customFormat="false" ht="15" hidden="false" customHeight="false" outlineLevel="0" collapsed="false">
      <c r="A315" s="18" t="s">
        <v>764</v>
      </c>
      <c r="B315" s="18" t="s">
        <v>797</v>
      </c>
      <c r="C315" s="18" t="s">
        <v>194</v>
      </c>
      <c r="D315" s="18"/>
      <c r="E315" s="18" t="s">
        <v>798</v>
      </c>
      <c r="F315" s="19" t="n">
        <v>45820</v>
      </c>
      <c r="G315" s="18" t="s">
        <v>125</v>
      </c>
      <c r="H315" s="18" t="s">
        <v>126</v>
      </c>
      <c r="I315" s="18" t="s">
        <v>126</v>
      </c>
      <c r="J315" s="18" t="s">
        <v>126</v>
      </c>
      <c r="K315" s="18"/>
      <c r="L315" s="18" t="s">
        <v>61</v>
      </c>
      <c r="M315" s="21" t="s">
        <v>15</v>
      </c>
      <c r="N315" s="18" t="s">
        <v>509</v>
      </c>
    </row>
    <row r="316" customFormat="false" ht="15" hidden="false" customHeight="false" outlineLevel="0" collapsed="false">
      <c r="A316" s="18" t="s">
        <v>764</v>
      </c>
      <c r="B316" s="18" t="s">
        <v>799</v>
      </c>
      <c r="C316" s="18" t="s">
        <v>194</v>
      </c>
      <c r="D316" s="18"/>
      <c r="E316" s="18" t="s">
        <v>800</v>
      </c>
      <c r="F316" s="19" t="n">
        <v>45821</v>
      </c>
      <c r="G316" s="18" t="s">
        <v>196</v>
      </c>
      <c r="H316" s="18" t="s">
        <v>165</v>
      </c>
      <c r="I316" s="18" t="s">
        <v>165</v>
      </c>
      <c r="J316" s="18" t="s">
        <v>126</v>
      </c>
      <c r="K316" s="18"/>
      <c r="L316" s="18" t="s">
        <v>273</v>
      </c>
      <c r="M316" s="18"/>
      <c r="N316" s="18" t="s">
        <v>274</v>
      </c>
    </row>
    <row r="317" customFormat="false" ht="15" hidden="false" customHeight="false" outlineLevel="0" collapsed="false">
      <c r="A317" s="18" t="s">
        <v>764</v>
      </c>
      <c r="B317" s="18" t="s">
        <v>801</v>
      </c>
      <c r="C317" s="18" t="s">
        <v>194</v>
      </c>
      <c r="D317" s="18"/>
      <c r="E317" s="18" t="s">
        <v>802</v>
      </c>
      <c r="F317" s="19" t="n">
        <v>45824</v>
      </c>
      <c r="G317" s="18" t="s">
        <v>196</v>
      </c>
      <c r="H317" s="18" t="s">
        <v>165</v>
      </c>
      <c r="I317" s="18" t="s">
        <v>165</v>
      </c>
      <c r="J317" s="18" t="s">
        <v>126</v>
      </c>
      <c r="K317" s="18"/>
      <c r="L317" s="18" t="s">
        <v>273</v>
      </c>
      <c r="M317" s="18"/>
      <c r="N317" s="18" t="s">
        <v>274</v>
      </c>
    </row>
    <row r="318" customFormat="false" ht="15" hidden="false" customHeight="false" outlineLevel="0" collapsed="false">
      <c r="A318" s="18" t="s">
        <v>764</v>
      </c>
      <c r="B318" s="18" t="s">
        <v>803</v>
      </c>
      <c r="C318" s="18" t="s">
        <v>194</v>
      </c>
      <c r="D318" s="18"/>
      <c r="E318" s="18" t="s">
        <v>804</v>
      </c>
      <c r="F318" s="19" t="n">
        <v>45824</v>
      </c>
      <c r="G318" s="18" t="s">
        <v>125</v>
      </c>
      <c r="H318" s="18" t="s">
        <v>126</v>
      </c>
      <c r="I318" s="18" t="s">
        <v>126</v>
      </c>
      <c r="J318" s="18" t="s">
        <v>126</v>
      </c>
      <c r="K318" s="18"/>
      <c r="L318" s="18" t="s">
        <v>11</v>
      </c>
      <c r="M318" s="20" t="s">
        <v>12</v>
      </c>
      <c r="N318" s="18" t="s">
        <v>147</v>
      </c>
    </row>
    <row r="319" customFormat="false" ht="15" hidden="false" customHeight="false" outlineLevel="0" collapsed="false">
      <c r="A319" s="18" t="s">
        <v>764</v>
      </c>
      <c r="B319" s="18" t="s">
        <v>805</v>
      </c>
      <c r="C319" s="18" t="s">
        <v>194</v>
      </c>
      <c r="D319" s="18"/>
      <c r="E319" s="18" t="s">
        <v>806</v>
      </c>
      <c r="F319" s="19" t="n">
        <v>45825</v>
      </c>
      <c r="G319" s="18" t="s">
        <v>125</v>
      </c>
      <c r="H319" s="18" t="s">
        <v>126</v>
      </c>
      <c r="I319" s="18" t="s">
        <v>126</v>
      </c>
      <c r="J319" s="18" t="s">
        <v>126</v>
      </c>
      <c r="K319" s="18"/>
      <c r="L319" s="18" t="s">
        <v>171</v>
      </c>
      <c r="M319" s="18"/>
      <c r="N319" s="18" t="s">
        <v>172</v>
      </c>
    </row>
    <row r="320" customFormat="false" ht="15" hidden="false" customHeight="false" outlineLevel="0" collapsed="false">
      <c r="A320" s="18" t="s">
        <v>764</v>
      </c>
      <c r="B320" s="18" t="s">
        <v>807</v>
      </c>
      <c r="C320" s="18" t="s">
        <v>194</v>
      </c>
      <c r="D320" s="18"/>
      <c r="E320" s="18" t="s">
        <v>808</v>
      </c>
      <c r="F320" s="19" t="n">
        <v>45825</v>
      </c>
      <c r="G320" s="18" t="s">
        <v>125</v>
      </c>
      <c r="H320" s="18" t="s">
        <v>126</v>
      </c>
      <c r="I320" s="18" t="s">
        <v>126</v>
      </c>
      <c r="J320" s="18" t="s">
        <v>126</v>
      </c>
      <c r="K320" s="18"/>
      <c r="L320" s="18" t="s">
        <v>72</v>
      </c>
      <c r="M320" s="20" t="s">
        <v>12</v>
      </c>
      <c r="N320" s="18" t="s">
        <v>150</v>
      </c>
    </row>
    <row r="321" customFormat="false" ht="15" hidden="false" customHeight="false" outlineLevel="0" collapsed="false">
      <c r="A321" s="18" t="s">
        <v>764</v>
      </c>
      <c r="B321" s="18" t="s">
        <v>809</v>
      </c>
      <c r="C321" s="18" t="s">
        <v>194</v>
      </c>
      <c r="D321" s="18"/>
      <c r="E321" s="18" t="s">
        <v>810</v>
      </c>
      <c r="F321" s="19" t="n">
        <v>45826</v>
      </c>
      <c r="G321" s="18" t="s">
        <v>125</v>
      </c>
      <c r="H321" s="18" t="s">
        <v>126</v>
      </c>
      <c r="I321" s="18" t="s">
        <v>126</v>
      </c>
      <c r="J321" s="18" t="s">
        <v>126</v>
      </c>
      <c r="K321" s="18"/>
      <c r="L321" s="18" t="s">
        <v>61</v>
      </c>
      <c r="M321" s="21" t="s">
        <v>15</v>
      </c>
      <c r="N321" s="18" t="s">
        <v>509</v>
      </c>
    </row>
    <row r="322" customFormat="false" ht="15" hidden="false" customHeight="false" outlineLevel="0" collapsed="false">
      <c r="A322" s="18" t="s">
        <v>764</v>
      </c>
      <c r="B322" s="18" t="s">
        <v>811</v>
      </c>
      <c r="C322" s="18" t="s">
        <v>194</v>
      </c>
      <c r="D322" s="18"/>
      <c r="E322" s="18" t="s">
        <v>812</v>
      </c>
      <c r="F322" s="19" t="n">
        <v>45831</v>
      </c>
      <c r="G322" s="18" t="s">
        <v>125</v>
      </c>
      <c r="H322" s="18" t="s">
        <v>126</v>
      </c>
      <c r="I322" s="18" t="s">
        <v>126</v>
      </c>
      <c r="J322" s="18" t="s">
        <v>126</v>
      </c>
      <c r="K322" s="18"/>
      <c r="L322" s="18" t="s">
        <v>52</v>
      </c>
      <c r="M322" s="21" t="s">
        <v>15</v>
      </c>
      <c r="N322" s="18" t="s">
        <v>241</v>
      </c>
    </row>
    <row r="323" customFormat="false" ht="15" hidden="false" customHeight="false" outlineLevel="0" collapsed="false">
      <c r="A323" s="18" t="s">
        <v>764</v>
      </c>
      <c r="B323" s="18" t="s">
        <v>813</v>
      </c>
      <c r="C323" s="18" t="s">
        <v>194</v>
      </c>
      <c r="D323" s="18"/>
      <c r="E323" s="18" t="s">
        <v>814</v>
      </c>
      <c r="F323" s="19" t="n">
        <v>45831</v>
      </c>
      <c r="G323" s="18" t="s">
        <v>125</v>
      </c>
      <c r="H323" s="18" t="s">
        <v>126</v>
      </c>
      <c r="I323" s="18" t="s">
        <v>126</v>
      </c>
      <c r="J323" s="18" t="s">
        <v>126</v>
      </c>
      <c r="K323" s="18"/>
      <c r="L323" s="18" t="s">
        <v>39</v>
      </c>
      <c r="M323" s="20" t="s">
        <v>12</v>
      </c>
      <c r="N323" s="18" t="s">
        <v>815</v>
      </c>
    </row>
    <row r="324" customFormat="false" ht="15" hidden="false" customHeight="false" outlineLevel="0" collapsed="false">
      <c r="A324" s="18" t="s">
        <v>764</v>
      </c>
      <c r="B324" s="18" t="s">
        <v>816</v>
      </c>
      <c r="C324" s="18" t="s">
        <v>194</v>
      </c>
      <c r="D324" s="18"/>
      <c r="E324" s="18" t="s">
        <v>817</v>
      </c>
      <c r="F324" s="19" t="n">
        <v>45831</v>
      </c>
      <c r="G324" s="18" t="s">
        <v>125</v>
      </c>
      <c r="H324" s="18" t="s">
        <v>126</v>
      </c>
      <c r="I324" s="18" t="s">
        <v>126</v>
      </c>
      <c r="J324" s="18" t="s">
        <v>165</v>
      </c>
      <c r="K324" s="18" t="s">
        <v>166</v>
      </c>
      <c r="L324" s="18" t="s">
        <v>167</v>
      </c>
      <c r="M324" s="18"/>
      <c r="N324" s="18" t="s">
        <v>168</v>
      </c>
    </row>
    <row r="325" customFormat="false" ht="15" hidden="false" customHeight="false" outlineLevel="0" collapsed="false">
      <c r="A325" s="18" t="s">
        <v>764</v>
      </c>
      <c r="B325" s="18" t="s">
        <v>818</v>
      </c>
      <c r="C325" s="18" t="s">
        <v>194</v>
      </c>
      <c r="D325" s="18"/>
      <c r="E325" s="18" t="s">
        <v>819</v>
      </c>
      <c r="F325" s="19" t="n">
        <v>45832</v>
      </c>
      <c r="G325" s="18" t="s">
        <v>125</v>
      </c>
      <c r="H325" s="18" t="s">
        <v>126</v>
      </c>
      <c r="I325" s="18" t="s">
        <v>126</v>
      </c>
      <c r="J325" s="18" t="s">
        <v>126</v>
      </c>
      <c r="K325" s="18"/>
      <c r="L325" s="18" t="s">
        <v>59</v>
      </c>
      <c r="M325" s="22" t="s">
        <v>50</v>
      </c>
      <c r="N325" s="18" t="s">
        <v>141</v>
      </c>
    </row>
    <row r="326" customFormat="false" ht="15" hidden="false" customHeight="false" outlineLevel="0" collapsed="false">
      <c r="A326" s="18" t="s">
        <v>764</v>
      </c>
      <c r="B326" s="18" t="s">
        <v>820</v>
      </c>
      <c r="C326" s="18" t="s">
        <v>194</v>
      </c>
      <c r="D326" s="18"/>
      <c r="E326" s="18" t="s">
        <v>821</v>
      </c>
      <c r="F326" s="19" t="n">
        <v>45832</v>
      </c>
      <c r="G326" s="18" t="s">
        <v>125</v>
      </c>
      <c r="H326" s="18" t="s">
        <v>126</v>
      </c>
      <c r="I326" s="18" t="s">
        <v>126</v>
      </c>
      <c r="J326" s="18" t="s">
        <v>126</v>
      </c>
      <c r="K326" s="18"/>
      <c r="L326" s="18" t="s">
        <v>171</v>
      </c>
      <c r="M326" s="18"/>
      <c r="N326" s="18" t="s">
        <v>367</v>
      </c>
    </row>
    <row r="327" customFormat="false" ht="15" hidden="false" customHeight="false" outlineLevel="0" collapsed="false">
      <c r="A327" s="18" t="s">
        <v>764</v>
      </c>
      <c r="B327" s="18" t="s">
        <v>822</v>
      </c>
      <c r="C327" s="18" t="s">
        <v>194</v>
      </c>
      <c r="D327" s="18"/>
      <c r="E327" s="18" t="s">
        <v>823</v>
      </c>
      <c r="F327" s="19" t="n">
        <v>45833</v>
      </c>
      <c r="G327" s="18" t="s">
        <v>125</v>
      </c>
      <c r="H327" s="18" t="s">
        <v>126</v>
      </c>
      <c r="I327" s="18" t="s">
        <v>126</v>
      </c>
      <c r="J327" s="18" t="s">
        <v>126</v>
      </c>
      <c r="K327" s="18"/>
      <c r="L327" s="18" t="s">
        <v>26</v>
      </c>
      <c r="M327" s="20" t="s">
        <v>12</v>
      </c>
      <c r="N327" s="18" t="s">
        <v>135</v>
      </c>
    </row>
    <row r="328" customFormat="false" ht="15" hidden="false" customHeight="false" outlineLevel="0" collapsed="false">
      <c r="A328" s="18" t="s">
        <v>764</v>
      </c>
      <c r="B328" s="18" t="s">
        <v>824</v>
      </c>
      <c r="C328" s="18" t="s">
        <v>194</v>
      </c>
      <c r="D328" s="18"/>
      <c r="E328" s="18" t="s">
        <v>825</v>
      </c>
      <c r="F328" s="19" t="n">
        <v>45833</v>
      </c>
      <c r="G328" s="18" t="s">
        <v>826</v>
      </c>
      <c r="H328" s="18" t="s">
        <v>165</v>
      </c>
      <c r="I328" s="18" t="s">
        <v>126</v>
      </c>
      <c r="J328" s="18" t="s">
        <v>126</v>
      </c>
      <c r="K328" s="18"/>
      <c r="L328" s="18" t="s">
        <v>89</v>
      </c>
      <c r="M328" s="20" t="s">
        <v>12</v>
      </c>
      <c r="N328" s="18" t="s">
        <v>197</v>
      </c>
    </row>
    <row r="329" customFormat="false" ht="15" hidden="false" customHeight="false" outlineLevel="0" collapsed="false">
      <c r="A329" s="18" t="s">
        <v>764</v>
      </c>
      <c r="B329" s="18" t="s">
        <v>827</v>
      </c>
      <c r="C329" s="18" t="s">
        <v>194</v>
      </c>
      <c r="D329" s="18"/>
      <c r="E329" s="18" t="s">
        <v>828</v>
      </c>
      <c r="F329" s="19" t="n">
        <v>45834</v>
      </c>
      <c r="G329" s="18" t="s">
        <v>125</v>
      </c>
      <c r="H329" s="18" t="s">
        <v>126</v>
      </c>
      <c r="I329" s="18" t="s">
        <v>126</v>
      </c>
      <c r="J329" s="18" t="s">
        <v>126</v>
      </c>
      <c r="K329" s="18"/>
      <c r="L329" s="18" t="s">
        <v>49</v>
      </c>
      <c r="M329" s="22" t="s">
        <v>50</v>
      </c>
      <c r="N329" s="18" t="s">
        <v>230</v>
      </c>
    </row>
    <row r="330" customFormat="false" ht="15" hidden="false" customHeight="false" outlineLevel="0" collapsed="false">
      <c r="A330" s="18" t="s">
        <v>764</v>
      </c>
      <c r="B330" s="18" t="s">
        <v>829</v>
      </c>
      <c r="C330" s="18" t="s">
        <v>194</v>
      </c>
      <c r="D330" s="18"/>
      <c r="E330" s="18" t="s">
        <v>830</v>
      </c>
      <c r="F330" s="19" t="n">
        <v>45834</v>
      </c>
      <c r="G330" s="18" t="s">
        <v>196</v>
      </c>
      <c r="H330" s="18" t="s">
        <v>165</v>
      </c>
      <c r="I330" s="18" t="s">
        <v>165</v>
      </c>
      <c r="J330" s="18" t="s">
        <v>126</v>
      </c>
      <c r="K330" s="18"/>
      <c r="L330" s="18" t="s">
        <v>36</v>
      </c>
      <c r="M330" s="21" t="s">
        <v>15</v>
      </c>
      <c r="N330" s="18" t="s">
        <v>439</v>
      </c>
    </row>
    <row r="331" customFormat="false" ht="15" hidden="false" customHeight="false" outlineLevel="0" collapsed="false">
      <c r="A331" s="18" t="s">
        <v>764</v>
      </c>
      <c r="B331" s="18" t="s">
        <v>831</v>
      </c>
      <c r="C331" s="18" t="s">
        <v>194</v>
      </c>
      <c r="D331" s="18"/>
      <c r="E331" s="18" t="s">
        <v>832</v>
      </c>
      <c r="F331" s="19" t="n">
        <v>45834</v>
      </c>
      <c r="G331" s="18" t="s">
        <v>125</v>
      </c>
      <c r="H331" s="18" t="s">
        <v>126</v>
      </c>
      <c r="I331" s="18" t="s">
        <v>126</v>
      </c>
      <c r="J331" s="18" t="s">
        <v>126</v>
      </c>
      <c r="K331" s="18"/>
      <c r="L331" s="18" t="s">
        <v>54</v>
      </c>
      <c r="M331" s="21" t="s">
        <v>15</v>
      </c>
      <c r="N331" s="18" t="s">
        <v>138</v>
      </c>
    </row>
    <row r="332" customFormat="false" ht="15" hidden="false" customHeight="false" outlineLevel="0" collapsed="false">
      <c r="A332" s="18" t="s">
        <v>764</v>
      </c>
      <c r="B332" s="18" t="s">
        <v>833</v>
      </c>
      <c r="C332" s="18" t="s">
        <v>194</v>
      </c>
      <c r="D332" s="18"/>
      <c r="E332" s="18" t="s">
        <v>834</v>
      </c>
      <c r="F332" s="19" t="n">
        <v>45834</v>
      </c>
      <c r="G332" s="18" t="s">
        <v>125</v>
      </c>
      <c r="H332" s="18" t="s">
        <v>126</v>
      </c>
      <c r="I332" s="18" t="s">
        <v>126</v>
      </c>
      <c r="J332" s="18" t="s">
        <v>126</v>
      </c>
      <c r="K332" s="18"/>
      <c r="L332" s="18" t="s">
        <v>64</v>
      </c>
      <c r="M332" s="20" t="s">
        <v>12</v>
      </c>
      <c r="N332" s="18" t="s">
        <v>153</v>
      </c>
    </row>
    <row r="333" customFormat="false" ht="15" hidden="false" customHeight="false" outlineLevel="0" collapsed="false">
      <c r="A333" s="18" t="s">
        <v>764</v>
      </c>
      <c r="B333" s="18" t="s">
        <v>835</v>
      </c>
      <c r="C333" s="18" t="s">
        <v>194</v>
      </c>
      <c r="D333" s="18"/>
      <c r="E333" s="18" t="s">
        <v>836</v>
      </c>
      <c r="F333" s="19" t="n">
        <v>45838</v>
      </c>
      <c r="G333" s="18" t="s">
        <v>125</v>
      </c>
      <c r="H333" s="18" t="s">
        <v>126</v>
      </c>
      <c r="I333" s="18" t="s">
        <v>126</v>
      </c>
      <c r="J333" s="18" t="s">
        <v>126</v>
      </c>
      <c r="K333" s="18"/>
      <c r="L333" s="18" t="s">
        <v>11</v>
      </c>
      <c r="M333" s="20" t="s">
        <v>12</v>
      </c>
      <c r="N333" s="18" t="s">
        <v>147</v>
      </c>
    </row>
    <row r="334" customFormat="false" ht="15" hidden="false" customHeight="false" outlineLevel="0" collapsed="false">
      <c r="A334" s="18" t="s">
        <v>764</v>
      </c>
      <c r="B334" s="18" t="s">
        <v>837</v>
      </c>
      <c r="C334" s="18" t="s">
        <v>194</v>
      </c>
      <c r="D334" s="18"/>
      <c r="E334" s="18" t="s">
        <v>838</v>
      </c>
      <c r="F334" s="19" t="n">
        <v>45838</v>
      </c>
      <c r="G334" s="18" t="s">
        <v>125</v>
      </c>
      <c r="H334" s="18" t="s">
        <v>126</v>
      </c>
      <c r="I334" s="18" t="s">
        <v>126</v>
      </c>
      <c r="J334" s="18" t="s">
        <v>126</v>
      </c>
      <c r="K334" s="18"/>
      <c r="L334" s="18" t="s">
        <v>26</v>
      </c>
      <c r="M334" s="20" t="s">
        <v>12</v>
      </c>
      <c r="N334" s="18" t="s">
        <v>135</v>
      </c>
    </row>
    <row r="335" customFormat="false" ht="15" hidden="false" customHeight="false" outlineLevel="0" collapsed="false">
      <c r="A335" s="18" t="s">
        <v>764</v>
      </c>
      <c r="B335" s="18" t="s">
        <v>839</v>
      </c>
      <c r="C335" s="18" t="s">
        <v>194</v>
      </c>
      <c r="D335" s="18"/>
      <c r="E335" s="18" t="s">
        <v>840</v>
      </c>
      <c r="F335" s="19" t="n">
        <v>45839</v>
      </c>
      <c r="G335" s="18" t="s">
        <v>125</v>
      </c>
      <c r="H335" s="18" t="s">
        <v>126</v>
      </c>
      <c r="I335" s="18" t="s">
        <v>126</v>
      </c>
      <c r="J335" s="18" t="s">
        <v>165</v>
      </c>
      <c r="K335" s="18" t="s">
        <v>166</v>
      </c>
      <c r="L335" s="18" t="s">
        <v>167</v>
      </c>
      <c r="M335" s="18"/>
      <c r="N335" s="18" t="s">
        <v>168</v>
      </c>
    </row>
    <row r="336" customFormat="false" ht="15" hidden="false" customHeight="false" outlineLevel="0" collapsed="false">
      <c r="A336" s="18" t="s">
        <v>764</v>
      </c>
      <c r="B336" s="18" t="s">
        <v>841</v>
      </c>
      <c r="C336" s="18" t="s">
        <v>194</v>
      </c>
      <c r="D336" s="18"/>
      <c r="E336" s="18" t="s">
        <v>842</v>
      </c>
      <c r="F336" s="19" t="n">
        <v>45839</v>
      </c>
      <c r="G336" s="18" t="s">
        <v>125</v>
      </c>
      <c r="H336" s="18" t="s">
        <v>126</v>
      </c>
      <c r="I336" s="18" t="s">
        <v>126</v>
      </c>
      <c r="J336" s="18" t="s">
        <v>126</v>
      </c>
      <c r="K336" s="18"/>
      <c r="L336" s="18" t="s">
        <v>56</v>
      </c>
      <c r="M336" s="20" t="s">
        <v>12</v>
      </c>
      <c r="N336" s="18" t="s">
        <v>268</v>
      </c>
    </row>
    <row r="337" customFormat="false" ht="15" hidden="false" customHeight="false" outlineLevel="0" collapsed="false">
      <c r="A337" s="18" t="s">
        <v>764</v>
      </c>
      <c r="B337" s="18" t="s">
        <v>843</v>
      </c>
      <c r="C337" s="18" t="s">
        <v>194</v>
      </c>
      <c r="D337" s="18"/>
      <c r="E337" s="18" t="s">
        <v>844</v>
      </c>
      <c r="F337" s="19" t="n">
        <v>45840</v>
      </c>
      <c r="G337" s="18" t="s">
        <v>125</v>
      </c>
      <c r="H337" s="18" t="s">
        <v>126</v>
      </c>
      <c r="I337" s="18" t="s">
        <v>126</v>
      </c>
      <c r="J337" s="18" t="s">
        <v>126</v>
      </c>
      <c r="K337" s="18"/>
      <c r="L337" s="18" t="s">
        <v>52</v>
      </c>
      <c r="M337" s="22" t="s">
        <v>50</v>
      </c>
      <c r="N337" s="18" t="s">
        <v>178</v>
      </c>
    </row>
    <row r="338" customFormat="false" ht="15" hidden="false" customHeight="false" outlineLevel="0" collapsed="false">
      <c r="A338" s="18" t="s">
        <v>764</v>
      </c>
      <c r="B338" s="18" t="s">
        <v>845</v>
      </c>
      <c r="C338" s="18" t="s">
        <v>194</v>
      </c>
      <c r="D338" s="18"/>
      <c r="E338" s="18" t="s">
        <v>846</v>
      </c>
      <c r="F338" s="19" t="n">
        <v>45840</v>
      </c>
      <c r="G338" s="18" t="s">
        <v>125</v>
      </c>
      <c r="H338" s="18" t="s">
        <v>126</v>
      </c>
      <c r="I338" s="18" t="s">
        <v>126</v>
      </c>
      <c r="J338" s="18" t="s">
        <v>126</v>
      </c>
      <c r="K338" s="18"/>
      <c r="L338" s="18" t="s">
        <v>171</v>
      </c>
      <c r="M338" s="18"/>
      <c r="N338" s="18" t="s">
        <v>172</v>
      </c>
    </row>
    <row r="339" customFormat="false" ht="15" hidden="false" customHeight="false" outlineLevel="0" collapsed="false">
      <c r="A339" s="18" t="s">
        <v>764</v>
      </c>
      <c r="B339" s="18" t="s">
        <v>847</v>
      </c>
      <c r="C339" s="18" t="s">
        <v>194</v>
      </c>
      <c r="D339" s="18"/>
      <c r="E339" s="18" t="s">
        <v>848</v>
      </c>
      <c r="F339" s="19" t="n">
        <v>45841</v>
      </c>
      <c r="G339" s="18" t="s">
        <v>125</v>
      </c>
      <c r="H339" s="18" t="s">
        <v>126</v>
      </c>
      <c r="I339" s="18" t="s">
        <v>126</v>
      </c>
      <c r="J339" s="18" t="s">
        <v>126</v>
      </c>
      <c r="K339" s="18"/>
      <c r="L339" s="18" t="s">
        <v>26</v>
      </c>
      <c r="M339" s="20" t="s">
        <v>12</v>
      </c>
      <c r="N339" s="18" t="s">
        <v>135</v>
      </c>
    </row>
    <row r="340" customFormat="false" ht="15" hidden="false" customHeight="false" outlineLevel="0" collapsed="false">
      <c r="A340" s="18" t="s">
        <v>764</v>
      </c>
      <c r="B340" s="18" t="s">
        <v>849</v>
      </c>
      <c r="C340" s="18" t="s">
        <v>194</v>
      </c>
      <c r="D340" s="18"/>
      <c r="E340" s="18" t="s">
        <v>850</v>
      </c>
      <c r="F340" s="19" t="n">
        <v>45842</v>
      </c>
      <c r="G340" s="18" t="s">
        <v>125</v>
      </c>
      <c r="H340" s="18" t="s">
        <v>126</v>
      </c>
      <c r="I340" s="18" t="s">
        <v>126</v>
      </c>
      <c r="J340" s="18" t="s">
        <v>126</v>
      </c>
      <c r="K340" s="18"/>
      <c r="L340" s="18" t="s">
        <v>56</v>
      </c>
      <c r="M340" s="20" t="s">
        <v>12</v>
      </c>
      <c r="N340" s="18" t="s">
        <v>268</v>
      </c>
    </row>
    <row r="341" customFormat="false" ht="15" hidden="false" customHeight="false" outlineLevel="0" collapsed="false">
      <c r="A341" s="18" t="s">
        <v>764</v>
      </c>
      <c r="B341" s="18" t="s">
        <v>851</v>
      </c>
      <c r="C341" s="18" t="s">
        <v>194</v>
      </c>
      <c r="D341" s="18"/>
      <c r="E341" s="18" t="s">
        <v>852</v>
      </c>
      <c r="F341" s="19" t="n">
        <v>45845</v>
      </c>
      <c r="G341" s="18" t="s">
        <v>125</v>
      </c>
      <c r="H341" s="18" t="s">
        <v>126</v>
      </c>
      <c r="I341" s="18" t="s">
        <v>126</v>
      </c>
      <c r="J341" s="18" t="s">
        <v>126</v>
      </c>
      <c r="K341" s="18"/>
      <c r="L341" s="18" t="s">
        <v>23</v>
      </c>
      <c r="M341" s="20" t="s">
        <v>12</v>
      </c>
      <c r="N341" s="18" t="s">
        <v>572</v>
      </c>
    </row>
    <row r="342" customFormat="false" ht="15" hidden="false" customHeight="false" outlineLevel="0" collapsed="false">
      <c r="A342" s="18" t="s">
        <v>764</v>
      </c>
      <c r="B342" s="18" t="s">
        <v>853</v>
      </c>
      <c r="C342" s="18" t="s">
        <v>194</v>
      </c>
      <c r="D342" s="18"/>
      <c r="E342" s="18" t="s">
        <v>854</v>
      </c>
      <c r="F342" s="19" t="n">
        <v>45846</v>
      </c>
      <c r="G342" s="18" t="s">
        <v>125</v>
      </c>
      <c r="H342" s="18" t="s">
        <v>126</v>
      </c>
      <c r="I342" s="18" t="s">
        <v>126</v>
      </c>
      <c r="J342" s="18" t="s">
        <v>126</v>
      </c>
      <c r="K342" s="18"/>
      <c r="L342" s="18" t="s">
        <v>45</v>
      </c>
      <c r="M342" s="20" t="s">
        <v>12</v>
      </c>
      <c r="N342" s="18" t="s">
        <v>308</v>
      </c>
    </row>
    <row r="343" customFormat="false" ht="15" hidden="false" customHeight="false" outlineLevel="0" collapsed="false">
      <c r="A343" s="18" t="s">
        <v>764</v>
      </c>
      <c r="B343" s="18" t="s">
        <v>855</v>
      </c>
      <c r="C343" s="18" t="s">
        <v>194</v>
      </c>
      <c r="D343" s="18"/>
      <c r="E343" s="18" t="s">
        <v>856</v>
      </c>
      <c r="F343" s="19" t="n">
        <v>45847</v>
      </c>
      <c r="G343" s="18" t="s">
        <v>125</v>
      </c>
      <c r="H343" s="18" t="s">
        <v>126</v>
      </c>
      <c r="I343" s="18" t="s">
        <v>126</v>
      </c>
      <c r="J343" s="18" t="s">
        <v>126</v>
      </c>
      <c r="K343" s="18"/>
      <c r="L343" s="18" t="s">
        <v>76</v>
      </c>
      <c r="M343" s="21" t="s">
        <v>15</v>
      </c>
      <c r="N343" s="18" t="s">
        <v>561</v>
      </c>
    </row>
    <row r="344" customFormat="false" ht="15" hidden="false" customHeight="false" outlineLevel="0" collapsed="false">
      <c r="A344" s="18" t="s">
        <v>764</v>
      </c>
      <c r="B344" s="18" t="s">
        <v>857</v>
      </c>
      <c r="C344" s="18" t="s">
        <v>194</v>
      </c>
      <c r="D344" s="18"/>
      <c r="E344" s="18" t="s">
        <v>858</v>
      </c>
      <c r="F344" s="19" t="n">
        <v>45848</v>
      </c>
      <c r="G344" s="18" t="s">
        <v>125</v>
      </c>
      <c r="H344" s="18" t="s">
        <v>126</v>
      </c>
      <c r="I344" s="18" t="s">
        <v>126</v>
      </c>
      <c r="J344" s="18" t="s">
        <v>126</v>
      </c>
      <c r="K344" s="18"/>
      <c r="L344" s="18" t="s">
        <v>78</v>
      </c>
      <c r="M344" s="20" t="s">
        <v>12</v>
      </c>
      <c r="N344" s="18" t="s">
        <v>859</v>
      </c>
    </row>
    <row r="345" customFormat="false" ht="15" hidden="false" customHeight="false" outlineLevel="0" collapsed="false">
      <c r="A345" s="18" t="s">
        <v>764</v>
      </c>
      <c r="B345" s="18" t="s">
        <v>860</v>
      </c>
      <c r="C345" s="18" t="s">
        <v>194</v>
      </c>
      <c r="D345" s="18"/>
      <c r="E345" s="18" t="s">
        <v>861</v>
      </c>
      <c r="F345" s="19" t="n">
        <v>45848</v>
      </c>
      <c r="G345" s="18" t="s">
        <v>125</v>
      </c>
      <c r="H345" s="18" t="s">
        <v>126</v>
      </c>
      <c r="I345" s="18" t="s">
        <v>126</v>
      </c>
      <c r="J345" s="18" t="s">
        <v>126</v>
      </c>
      <c r="K345" s="18"/>
      <c r="L345" s="18" t="s">
        <v>78</v>
      </c>
      <c r="M345" s="20" t="s">
        <v>12</v>
      </c>
      <c r="N345" s="18" t="s">
        <v>859</v>
      </c>
    </row>
    <row r="346" customFormat="false" ht="15" hidden="false" customHeight="false" outlineLevel="0" collapsed="false">
      <c r="A346" s="18" t="s">
        <v>764</v>
      </c>
      <c r="B346" s="18" t="s">
        <v>862</v>
      </c>
      <c r="C346" s="18" t="s">
        <v>194</v>
      </c>
      <c r="D346" s="18"/>
      <c r="E346" s="18" t="s">
        <v>863</v>
      </c>
      <c r="F346" s="19" t="n">
        <v>45848</v>
      </c>
      <c r="G346" s="18" t="s">
        <v>125</v>
      </c>
      <c r="H346" s="18" t="s">
        <v>126</v>
      </c>
      <c r="I346" s="18" t="s">
        <v>126</v>
      </c>
      <c r="J346" s="18" t="s">
        <v>126</v>
      </c>
      <c r="K346" s="18"/>
      <c r="L346" s="18" t="s">
        <v>171</v>
      </c>
      <c r="M346" s="18"/>
      <c r="N346" s="18" t="s">
        <v>172</v>
      </c>
    </row>
    <row r="347" customFormat="false" ht="15" hidden="false" customHeight="false" outlineLevel="0" collapsed="false">
      <c r="A347" s="18" t="s">
        <v>764</v>
      </c>
      <c r="B347" s="18" t="s">
        <v>864</v>
      </c>
      <c r="C347" s="18" t="s">
        <v>194</v>
      </c>
      <c r="D347" s="18"/>
      <c r="E347" s="18" t="s">
        <v>865</v>
      </c>
      <c r="F347" s="19" t="n">
        <v>45852</v>
      </c>
      <c r="G347" s="18" t="s">
        <v>125</v>
      </c>
      <c r="H347" s="18" t="s">
        <v>126</v>
      </c>
      <c r="I347" s="18" t="s">
        <v>126</v>
      </c>
      <c r="J347" s="18" t="s">
        <v>126</v>
      </c>
      <c r="K347" s="18"/>
      <c r="L347" s="18" t="s">
        <v>171</v>
      </c>
      <c r="M347" s="18"/>
      <c r="N347" s="18" t="s">
        <v>172</v>
      </c>
    </row>
    <row r="348" customFormat="false" ht="15" hidden="false" customHeight="false" outlineLevel="0" collapsed="false">
      <c r="A348" s="18" t="s">
        <v>764</v>
      </c>
      <c r="B348" s="18" t="s">
        <v>866</v>
      </c>
      <c r="C348" s="18" t="s">
        <v>194</v>
      </c>
      <c r="D348" s="18"/>
      <c r="E348" s="18" t="s">
        <v>867</v>
      </c>
      <c r="F348" s="19" t="n">
        <v>45852</v>
      </c>
      <c r="G348" s="18" t="s">
        <v>125</v>
      </c>
      <c r="H348" s="18" t="s">
        <v>126</v>
      </c>
      <c r="I348" s="18" t="s">
        <v>126</v>
      </c>
      <c r="J348" s="18" t="s">
        <v>126</v>
      </c>
      <c r="K348" s="18"/>
      <c r="L348" s="18" t="s">
        <v>171</v>
      </c>
      <c r="M348" s="18"/>
      <c r="N348" s="18" t="s">
        <v>172</v>
      </c>
    </row>
    <row r="349" customFormat="false" ht="15" hidden="false" customHeight="false" outlineLevel="0" collapsed="false">
      <c r="A349" s="18" t="s">
        <v>764</v>
      </c>
      <c r="B349" s="18" t="s">
        <v>868</v>
      </c>
      <c r="C349" s="18" t="s">
        <v>194</v>
      </c>
      <c r="D349" s="18"/>
      <c r="E349" s="18" t="s">
        <v>869</v>
      </c>
      <c r="F349" s="19" t="n">
        <v>45852</v>
      </c>
      <c r="G349" s="18" t="s">
        <v>125</v>
      </c>
      <c r="H349" s="18" t="s">
        <v>126</v>
      </c>
      <c r="I349" s="18" t="s">
        <v>126</v>
      </c>
      <c r="J349" s="18" t="s">
        <v>165</v>
      </c>
      <c r="K349" s="18" t="s">
        <v>166</v>
      </c>
      <c r="L349" s="18" t="s">
        <v>167</v>
      </c>
      <c r="M349" s="18"/>
      <c r="N349" s="18" t="s">
        <v>870</v>
      </c>
    </row>
    <row r="350" customFormat="false" ht="15" hidden="false" customHeight="false" outlineLevel="0" collapsed="false">
      <c r="A350" s="18" t="s">
        <v>764</v>
      </c>
      <c r="B350" s="18" t="s">
        <v>871</v>
      </c>
      <c r="C350" s="18" t="s">
        <v>194</v>
      </c>
      <c r="D350" s="18"/>
      <c r="E350" s="18" t="s">
        <v>872</v>
      </c>
      <c r="F350" s="19" t="n">
        <v>45853</v>
      </c>
      <c r="G350" s="18" t="s">
        <v>125</v>
      </c>
      <c r="H350" s="18" t="s">
        <v>126</v>
      </c>
      <c r="I350" s="18" t="s">
        <v>126</v>
      </c>
      <c r="J350" s="18" t="s">
        <v>126</v>
      </c>
      <c r="K350" s="18"/>
      <c r="L350" s="18" t="s">
        <v>54</v>
      </c>
      <c r="M350" s="22" t="s">
        <v>50</v>
      </c>
      <c r="N350" s="18" t="s">
        <v>278</v>
      </c>
    </row>
    <row r="351" customFormat="false" ht="15" hidden="false" customHeight="false" outlineLevel="0" collapsed="false">
      <c r="A351" s="18" t="s">
        <v>764</v>
      </c>
      <c r="B351" s="18" t="s">
        <v>873</v>
      </c>
      <c r="C351" s="18" t="s">
        <v>194</v>
      </c>
      <c r="D351" s="18"/>
      <c r="E351" s="18" t="s">
        <v>874</v>
      </c>
      <c r="F351" s="19" t="n">
        <v>45853</v>
      </c>
      <c r="G351" s="18" t="s">
        <v>125</v>
      </c>
      <c r="H351" s="18" t="s">
        <v>126</v>
      </c>
      <c r="I351" s="18" t="s">
        <v>126</v>
      </c>
      <c r="J351" s="18" t="s">
        <v>126</v>
      </c>
      <c r="K351" s="18"/>
      <c r="L351" s="18" t="s">
        <v>11</v>
      </c>
      <c r="M351" s="20" t="s">
        <v>12</v>
      </c>
      <c r="N351" s="18" t="s">
        <v>147</v>
      </c>
    </row>
    <row r="352" customFormat="false" ht="15" hidden="false" customHeight="false" outlineLevel="0" collapsed="false">
      <c r="A352" s="18" t="s">
        <v>764</v>
      </c>
      <c r="B352" s="18" t="s">
        <v>875</v>
      </c>
      <c r="C352" s="18" t="s">
        <v>194</v>
      </c>
      <c r="D352" s="18"/>
      <c r="E352" s="18" t="s">
        <v>876</v>
      </c>
      <c r="F352" s="19" t="n">
        <v>45854</v>
      </c>
      <c r="G352" s="18" t="s">
        <v>125</v>
      </c>
      <c r="H352" s="18" t="s">
        <v>126</v>
      </c>
      <c r="I352" s="18" t="s">
        <v>126</v>
      </c>
      <c r="J352" s="18" t="s">
        <v>126</v>
      </c>
      <c r="K352" s="18"/>
      <c r="L352" s="18" t="s">
        <v>26</v>
      </c>
      <c r="M352" s="20" t="s">
        <v>12</v>
      </c>
      <c r="N352" s="18" t="s">
        <v>135</v>
      </c>
    </row>
    <row r="353" customFormat="false" ht="15" hidden="false" customHeight="false" outlineLevel="0" collapsed="false">
      <c r="A353" s="18" t="s">
        <v>764</v>
      </c>
      <c r="B353" s="18" t="s">
        <v>877</v>
      </c>
      <c r="C353" s="18" t="s">
        <v>194</v>
      </c>
      <c r="D353" s="18"/>
      <c r="E353" s="18" t="s">
        <v>878</v>
      </c>
      <c r="F353" s="19" t="n">
        <v>45854</v>
      </c>
      <c r="G353" s="18" t="s">
        <v>196</v>
      </c>
      <c r="H353" s="18" t="s">
        <v>165</v>
      </c>
      <c r="I353" s="18" t="s">
        <v>165</v>
      </c>
      <c r="J353" s="18" t="s">
        <v>126</v>
      </c>
      <c r="K353" s="18"/>
      <c r="L353" s="18" t="s">
        <v>273</v>
      </c>
      <c r="M353" s="18"/>
      <c r="N353" s="18" t="s">
        <v>274</v>
      </c>
    </row>
    <row r="354" customFormat="false" ht="15" hidden="false" customHeight="false" outlineLevel="0" collapsed="false">
      <c r="A354" s="18" t="s">
        <v>764</v>
      </c>
      <c r="B354" s="18" t="s">
        <v>879</v>
      </c>
      <c r="C354" s="18" t="s">
        <v>194</v>
      </c>
      <c r="D354" s="18"/>
      <c r="E354" s="18" t="s">
        <v>880</v>
      </c>
      <c r="F354" s="19" t="n">
        <v>45855</v>
      </c>
      <c r="G354" s="18" t="s">
        <v>125</v>
      </c>
      <c r="H354" s="18" t="s">
        <v>126</v>
      </c>
      <c r="I354" s="18" t="s">
        <v>126</v>
      </c>
      <c r="J354" s="18" t="s">
        <v>126</v>
      </c>
      <c r="K354" s="18"/>
      <c r="L354" s="18" t="s">
        <v>52</v>
      </c>
      <c r="M354" s="22" t="s">
        <v>50</v>
      </c>
      <c r="N354" s="18" t="s">
        <v>178</v>
      </c>
    </row>
    <row r="355" customFormat="false" ht="15" hidden="false" customHeight="false" outlineLevel="0" collapsed="false">
      <c r="A355" s="18" t="s">
        <v>764</v>
      </c>
      <c r="B355" s="18" t="s">
        <v>881</v>
      </c>
      <c r="C355" s="18" t="s">
        <v>194</v>
      </c>
      <c r="D355" s="18"/>
      <c r="E355" s="18" t="s">
        <v>882</v>
      </c>
      <c r="F355" s="19" t="n">
        <v>45855</v>
      </c>
      <c r="G355" s="18" t="s">
        <v>125</v>
      </c>
      <c r="H355" s="18" t="s">
        <v>126</v>
      </c>
      <c r="I355" s="18" t="s">
        <v>126</v>
      </c>
      <c r="J355" s="18" t="s">
        <v>126</v>
      </c>
      <c r="K355" s="18"/>
      <c r="L355" s="18" t="s">
        <v>204</v>
      </c>
      <c r="M355" s="18"/>
      <c r="N355" s="18" t="s">
        <v>220</v>
      </c>
    </row>
    <row r="356" customFormat="false" ht="15" hidden="false" customHeight="false" outlineLevel="0" collapsed="false">
      <c r="A356" s="18" t="s">
        <v>764</v>
      </c>
      <c r="B356" s="18" t="s">
        <v>883</v>
      </c>
      <c r="C356" s="18" t="s">
        <v>194</v>
      </c>
      <c r="D356" s="18"/>
      <c r="E356" s="18" t="s">
        <v>884</v>
      </c>
      <c r="F356" s="19" t="n">
        <v>45856</v>
      </c>
      <c r="G356" s="18" t="s">
        <v>125</v>
      </c>
      <c r="H356" s="18" t="s">
        <v>126</v>
      </c>
      <c r="I356" s="18" t="s">
        <v>126</v>
      </c>
      <c r="J356" s="18" t="s">
        <v>126</v>
      </c>
      <c r="K356" s="18"/>
      <c r="L356" s="18" t="s">
        <v>34</v>
      </c>
      <c r="M356" s="20" t="s">
        <v>12</v>
      </c>
      <c r="N356" s="18" t="s">
        <v>34</v>
      </c>
    </row>
    <row r="357" customFormat="false" ht="15" hidden="false" customHeight="false" outlineLevel="0" collapsed="false">
      <c r="A357" s="18" t="s">
        <v>764</v>
      </c>
      <c r="B357" s="18" t="s">
        <v>885</v>
      </c>
      <c r="C357" s="18" t="s">
        <v>194</v>
      </c>
      <c r="D357" s="18"/>
      <c r="E357" s="18" t="s">
        <v>886</v>
      </c>
      <c r="F357" s="19" t="n">
        <v>45856</v>
      </c>
      <c r="G357" s="18" t="s">
        <v>125</v>
      </c>
      <c r="H357" s="18" t="s">
        <v>126</v>
      </c>
      <c r="I357" s="18" t="s">
        <v>126</v>
      </c>
      <c r="J357" s="18" t="s">
        <v>126</v>
      </c>
      <c r="K357" s="18"/>
      <c r="L357" s="18" t="s">
        <v>171</v>
      </c>
      <c r="M357" s="18"/>
      <c r="N357" s="18" t="s">
        <v>367</v>
      </c>
    </row>
    <row r="358" customFormat="false" ht="15" hidden="false" customHeight="false" outlineLevel="0" collapsed="false">
      <c r="A358" s="18" t="s">
        <v>764</v>
      </c>
      <c r="B358" s="18" t="s">
        <v>887</v>
      </c>
      <c r="C358" s="18" t="s">
        <v>194</v>
      </c>
      <c r="D358" s="18"/>
      <c r="E358" s="18" t="s">
        <v>888</v>
      </c>
      <c r="F358" s="19" t="n">
        <v>45858</v>
      </c>
      <c r="G358" s="18" t="s">
        <v>125</v>
      </c>
      <c r="H358" s="18" t="s">
        <v>126</v>
      </c>
      <c r="I358" s="18" t="s">
        <v>126</v>
      </c>
      <c r="J358" s="18" t="s">
        <v>126</v>
      </c>
      <c r="K358" s="18"/>
      <c r="L358" s="18" t="s">
        <v>52</v>
      </c>
      <c r="M358" s="22" t="s">
        <v>50</v>
      </c>
      <c r="N358" s="18" t="s">
        <v>178</v>
      </c>
    </row>
    <row r="359" customFormat="false" ht="15" hidden="false" customHeight="false" outlineLevel="0" collapsed="false">
      <c r="A359" s="18" t="s">
        <v>764</v>
      </c>
      <c r="B359" s="18" t="s">
        <v>889</v>
      </c>
      <c r="C359" s="18" t="s">
        <v>194</v>
      </c>
      <c r="D359" s="18"/>
      <c r="E359" s="18" t="s">
        <v>890</v>
      </c>
      <c r="F359" s="19" t="n">
        <v>45858</v>
      </c>
      <c r="G359" s="18" t="s">
        <v>125</v>
      </c>
      <c r="H359" s="18" t="s">
        <v>126</v>
      </c>
      <c r="I359" s="18" t="s">
        <v>126</v>
      </c>
      <c r="J359" s="18" t="s">
        <v>126</v>
      </c>
      <c r="K359" s="18"/>
      <c r="L359" s="18" t="s">
        <v>83</v>
      </c>
      <c r="M359" s="20" t="s">
        <v>12</v>
      </c>
      <c r="N359" s="18" t="s">
        <v>144</v>
      </c>
    </row>
    <row r="360" customFormat="false" ht="15" hidden="false" customHeight="false" outlineLevel="0" collapsed="false">
      <c r="A360" s="18" t="s">
        <v>764</v>
      </c>
      <c r="B360" s="18" t="s">
        <v>891</v>
      </c>
      <c r="C360" s="18" t="s">
        <v>194</v>
      </c>
      <c r="D360" s="18"/>
      <c r="E360" s="18" t="s">
        <v>892</v>
      </c>
      <c r="F360" s="19" t="n">
        <v>45860</v>
      </c>
      <c r="G360" s="18" t="s">
        <v>125</v>
      </c>
      <c r="H360" s="18" t="s">
        <v>126</v>
      </c>
      <c r="I360" s="18" t="s">
        <v>126</v>
      </c>
      <c r="J360" s="18" t="s">
        <v>126</v>
      </c>
      <c r="K360" s="18"/>
      <c r="L360" s="18" t="s">
        <v>49</v>
      </c>
      <c r="M360" s="22" t="s">
        <v>50</v>
      </c>
      <c r="N360" s="18" t="s">
        <v>230</v>
      </c>
    </row>
    <row r="361" customFormat="false" ht="15" hidden="false" customHeight="false" outlineLevel="0" collapsed="false">
      <c r="A361" s="18" t="s">
        <v>764</v>
      </c>
      <c r="B361" s="18" t="s">
        <v>893</v>
      </c>
      <c r="C361" s="18" t="s">
        <v>194</v>
      </c>
      <c r="D361" s="18"/>
      <c r="E361" s="18" t="s">
        <v>894</v>
      </c>
      <c r="F361" s="19" t="n">
        <v>45862</v>
      </c>
      <c r="G361" s="18" t="s">
        <v>125</v>
      </c>
      <c r="H361" s="18" t="s">
        <v>126</v>
      </c>
      <c r="I361" s="18" t="s">
        <v>126</v>
      </c>
      <c r="J361" s="18" t="s">
        <v>126</v>
      </c>
      <c r="K361" s="18"/>
      <c r="L361" s="18" t="s">
        <v>171</v>
      </c>
      <c r="M361" s="18"/>
      <c r="N361" s="18" t="s">
        <v>172</v>
      </c>
    </row>
    <row r="362" customFormat="false" ht="15" hidden="false" customHeight="false" outlineLevel="0" collapsed="false">
      <c r="A362" s="18" t="s">
        <v>764</v>
      </c>
      <c r="B362" s="18" t="s">
        <v>895</v>
      </c>
      <c r="C362" s="18" t="s">
        <v>194</v>
      </c>
      <c r="D362" s="18"/>
      <c r="E362" s="18" t="s">
        <v>896</v>
      </c>
      <c r="F362" s="19" t="n">
        <v>45863</v>
      </c>
      <c r="G362" s="18" t="s">
        <v>125</v>
      </c>
      <c r="H362" s="18" t="s">
        <v>126</v>
      </c>
      <c r="I362" s="18" t="s">
        <v>126</v>
      </c>
      <c r="J362" s="18" t="s">
        <v>126</v>
      </c>
      <c r="K362" s="18"/>
      <c r="L362" s="18" t="s">
        <v>54</v>
      </c>
      <c r="M362" s="22" t="s">
        <v>50</v>
      </c>
      <c r="N362" s="18" t="s">
        <v>278</v>
      </c>
    </row>
    <row r="363" customFormat="false" ht="15" hidden="false" customHeight="false" outlineLevel="0" collapsed="false">
      <c r="A363" s="18" t="s">
        <v>764</v>
      </c>
      <c r="B363" s="18" t="s">
        <v>897</v>
      </c>
      <c r="C363" s="18" t="s">
        <v>194</v>
      </c>
      <c r="D363" s="18"/>
      <c r="E363" s="18" t="s">
        <v>898</v>
      </c>
      <c r="F363" s="19" t="n">
        <v>45866</v>
      </c>
      <c r="G363" s="18" t="s">
        <v>125</v>
      </c>
      <c r="H363" s="18" t="s">
        <v>126</v>
      </c>
      <c r="I363" s="18" t="s">
        <v>126</v>
      </c>
      <c r="J363" s="18" t="s">
        <v>126</v>
      </c>
      <c r="K363" s="18"/>
      <c r="L363" s="18" t="s">
        <v>42</v>
      </c>
      <c r="M363" s="22" t="s">
        <v>50</v>
      </c>
      <c r="N363" s="18" t="s">
        <v>305</v>
      </c>
    </row>
    <row r="364" customFormat="false" ht="15" hidden="false" customHeight="false" outlineLevel="0" collapsed="false">
      <c r="A364" s="18" t="s">
        <v>764</v>
      </c>
      <c r="B364" s="18" t="s">
        <v>899</v>
      </c>
      <c r="C364" s="18" t="s">
        <v>194</v>
      </c>
      <c r="D364" s="18"/>
      <c r="E364" s="18" t="s">
        <v>900</v>
      </c>
      <c r="F364" s="19" t="n">
        <v>45867</v>
      </c>
      <c r="G364" s="18" t="s">
        <v>125</v>
      </c>
      <c r="H364" s="18" t="s">
        <v>126</v>
      </c>
      <c r="I364" s="18" t="s">
        <v>126</v>
      </c>
      <c r="J364" s="18" t="s">
        <v>126</v>
      </c>
      <c r="K364" s="18"/>
      <c r="L364" s="18" t="s">
        <v>171</v>
      </c>
      <c r="M364" s="18"/>
      <c r="N364" s="18" t="s">
        <v>172</v>
      </c>
    </row>
    <row r="365" customFormat="false" ht="15" hidden="false" customHeight="false" outlineLevel="0" collapsed="false">
      <c r="A365" s="18" t="s">
        <v>764</v>
      </c>
      <c r="B365" s="18" t="s">
        <v>901</v>
      </c>
      <c r="C365" s="18" t="s">
        <v>194</v>
      </c>
      <c r="D365" s="18"/>
      <c r="E365" s="18" t="s">
        <v>902</v>
      </c>
      <c r="F365" s="19" t="n">
        <v>45868</v>
      </c>
      <c r="G365" s="18" t="s">
        <v>125</v>
      </c>
      <c r="H365" s="18" t="s">
        <v>126</v>
      </c>
      <c r="I365" s="18" t="s">
        <v>126</v>
      </c>
      <c r="J365" s="18" t="s">
        <v>126</v>
      </c>
      <c r="K365" s="18"/>
      <c r="L365" s="18" t="s">
        <v>204</v>
      </c>
      <c r="M365" s="18"/>
      <c r="N365" s="18" t="s">
        <v>220</v>
      </c>
    </row>
    <row r="366" customFormat="false" ht="15" hidden="false" customHeight="false" outlineLevel="0" collapsed="false">
      <c r="A366" s="18" t="s">
        <v>764</v>
      </c>
      <c r="B366" s="18" t="s">
        <v>903</v>
      </c>
      <c r="C366" s="18" t="s">
        <v>194</v>
      </c>
      <c r="D366" s="18"/>
      <c r="E366" s="18" t="s">
        <v>904</v>
      </c>
      <c r="F366" s="19" t="n">
        <v>45869</v>
      </c>
      <c r="G366" s="18" t="s">
        <v>196</v>
      </c>
      <c r="H366" s="18" t="s">
        <v>165</v>
      </c>
      <c r="I366" s="18" t="s">
        <v>165</v>
      </c>
      <c r="J366" s="18" t="s">
        <v>126</v>
      </c>
      <c r="K366" s="18"/>
      <c r="L366" s="18" t="s">
        <v>66</v>
      </c>
      <c r="M366" s="22" t="s">
        <v>50</v>
      </c>
      <c r="N366" s="18" t="s">
        <v>66</v>
      </c>
    </row>
    <row r="367" customFormat="false" ht="15" hidden="false" customHeight="false" outlineLevel="0" collapsed="false">
      <c r="A367" s="18" t="s">
        <v>764</v>
      </c>
      <c r="B367" s="18" t="s">
        <v>905</v>
      </c>
      <c r="C367" s="18" t="s">
        <v>194</v>
      </c>
      <c r="D367" s="18"/>
      <c r="E367" s="18" t="s">
        <v>906</v>
      </c>
      <c r="F367" s="19" t="n">
        <v>45873</v>
      </c>
      <c r="G367" s="18" t="s">
        <v>125</v>
      </c>
      <c r="H367" s="18" t="s">
        <v>126</v>
      </c>
      <c r="I367" s="18" t="s">
        <v>126</v>
      </c>
      <c r="J367" s="18" t="s">
        <v>126</v>
      </c>
      <c r="K367" s="18"/>
      <c r="L367" s="18" t="s">
        <v>59</v>
      </c>
      <c r="M367" s="22" t="s">
        <v>50</v>
      </c>
      <c r="N367" s="18" t="s">
        <v>141</v>
      </c>
    </row>
    <row r="368" customFormat="false" ht="15" hidden="false" customHeight="false" outlineLevel="0" collapsed="false">
      <c r="A368" s="18" t="s">
        <v>764</v>
      </c>
      <c r="B368" s="18" t="s">
        <v>907</v>
      </c>
      <c r="C368" s="18" t="s">
        <v>194</v>
      </c>
      <c r="D368" s="18"/>
      <c r="E368" s="18" t="s">
        <v>908</v>
      </c>
      <c r="F368" s="19" t="n">
        <v>45873</v>
      </c>
      <c r="G368" s="18" t="s">
        <v>125</v>
      </c>
      <c r="H368" s="18" t="s">
        <v>126</v>
      </c>
      <c r="I368" s="18" t="s">
        <v>126</v>
      </c>
      <c r="J368" s="18" t="s">
        <v>126</v>
      </c>
      <c r="K368" s="18"/>
      <c r="L368" s="18" t="s">
        <v>11</v>
      </c>
      <c r="M368" s="20" t="s">
        <v>12</v>
      </c>
      <c r="N368" s="18" t="s">
        <v>147</v>
      </c>
    </row>
    <row r="369" customFormat="false" ht="15" hidden="false" customHeight="false" outlineLevel="0" collapsed="false">
      <c r="A369" s="18" t="s">
        <v>764</v>
      </c>
      <c r="B369" s="18" t="s">
        <v>909</v>
      </c>
      <c r="C369" s="18" t="s">
        <v>194</v>
      </c>
      <c r="D369" s="18"/>
      <c r="E369" s="18" t="s">
        <v>910</v>
      </c>
      <c r="F369" s="19" t="n">
        <v>45873</v>
      </c>
      <c r="G369" s="18" t="s">
        <v>125</v>
      </c>
      <c r="H369" s="18" t="s">
        <v>126</v>
      </c>
      <c r="I369" s="18" t="s">
        <v>126</v>
      </c>
      <c r="J369" s="18" t="s">
        <v>126</v>
      </c>
      <c r="K369" s="18"/>
      <c r="L369" s="18" t="s">
        <v>11</v>
      </c>
      <c r="M369" s="20" t="s">
        <v>12</v>
      </c>
      <c r="N369" s="18" t="s">
        <v>181</v>
      </c>
    </row>
    <row r="370" customFormat="false" ht="15" hidden="false" customHeight="false" outlineLevel="0" collapsed="false">
      <c r="A370" s="18" t="s">
        <v>764</v>
      </c>
      <c r="B370" s="18" t="s">
        <v>911</v>
      </c>
      <c r="C370" s="18" t="s">
        <v>194</v>
      </c>
      <c r="D370" s="18"/>
      <c r="E370" s="18" t="s">
        <v>912</v>
      </c>
      <c r="F370" s="19" t="n">
        <v>45874</v>
      </c>
      <c r="G370" s="18" t="s">
        <v>196</v>
      </c>
      <c r="H370" s="18" t="s">
        <v>165</v>
      </c>
      <c r="I370" s="18" t="s">
        <v>165</v>
      </c>
      <c r="J370" s="18" t="s">
        <v>126</v>
      </c>
      <c r="K370" s="18"/>
      <c r="L370" s="18" t="s">
        <v>171</v>
      </c>
      <c r="M370" s="18"/>
      <c r="N370" s="18" t="s">
        <v>367</v>
      </c>
    </row>
    <row r="371" customFormat="false" ht="15" hidden="false" customHeight="false" outlineLevel="0" collapsed="false">
      <c r="A371" s="18" t="s">
        <v>764</v>
      </c>
      <c r="B371" s="18" t="s">
        <v>913</v>
      </c>
      <c r="C371" s="18" t="s">
        <v>194</v>
      </c>
      <c r="D371" s="18"/>
      <c r="E371" s="18" t="s">
        <v>914</v>
      </c>
      <c r="F371" s="19" t="n">
        <v>45874</v>
      </c>
      <c r="G371" s="18" t="s">
        <v>125</v>
      </c>
      <c r="H371" s="18" t="s">
        <v>126</v>
      </c>
      <c r="I371" s="18" t="s">
        <v>126</v>
      </c>
      <c r="J371" s="18" t="s">
        <v>126</v>
      </c>
      <c r="K371" s="18"/>
      <c r="L371" s="18" t="s">
        <v>204</v>
      </c>
      <c r="M371" s="18"/>
      <c r="N371" s="18" t="s">
        <v>220</v>
      </c>
    </row>
    <row r="372" customFormat="false" ht="15" hidden="false" customHeight="false" outlineLevel="0" collapsed="false">
      <c r="A372" s="18" t="s">
        <v>764</v>
      </c>
      <c r="B372" s="18" t="s">
        <v>915</v>
      </c>
      <c r="C372" s="18" t="s">
        <v>194</v>
      </c>
      <c r="D372" s="18"/>
      <c r="E372" s="18" t="s">
        <v>916</v>
      </c>
      <c r="F372" s="19" t="n">
        <v>45874</v>
      </c>
      <c r="G372" s="18" t="s">
        <v>125</v>
      </c>
      <c r="H372" s="18" t="s">
        <v>126</v>
      </c>
      <c r="I372" s="18" t="s">
        <v>126</v>
      </c>
      <c r="J372" s="18" t="s">
        <v>165</v>
      </c>
      <c r="K372" s="18" t="s">
        <v>166</v>
      </c>
      <c r="L372" s="18" t="s">
        <v>167</v>
      </c>
      <c r="M372" s="18"/>
      <c r="N372" s="18" t="s">
        <v>168</v>
      </c>
    </row>
    <row r="373" customFormat="false" ht="15" hidden="false" customHeight="false" outlineLevel="0" collapsed="false">
      <c r="A373" s="18" t="s">
        <v>764</v>
      </c>
      <c r="B373" s="18" t="s">
        <v>917</v>
      </c>
      <c r="C373" s="18" t="s">
        <v>194</v>
      </c>
      <c r="D373" s="18"/>
      <c r="E373" s="18" t="s">
        <v>918</v>
      </c>
      <c r="F373" s="19" t="n">
        <v>45875</v>
      </c>
      <c r="G373" s="18" t="s">
        <v>125</v>
      </c>
      <c r="H373" s="18" t="s">
        <v>126</v>
      </c>
      <c r="I373" s="18" t="s">
        <v>126</v>
      </c>
      <c r="J373" s="18" t="s">
        <v>126</v>
      </c>
      <c r="K373" s="18"/>
      <c r="L373" s="18" t="s">
        <v>11</v>
      </c>
      <c r="M373" s="20" t="s">
        <v>12</v>
      </c>
      <c r="N373" s="18" t="s">
        <v>181</v>
      </c>
    </row>
    <row r="374" customFormat="false" ht="15" hidden="false" customHeight="false" outlineLevel="0" collapsed="false">
      <c r="A374" s="18" t="s">
        <v>764</v>
      </c>
      <c r="B374" s="18" t="s">
        <v>919</v>
      </c>
      <c r="C374" s="18" t="s">
        <v>194</v>
      </c>
      <c r="D374" s="18"/>
      <c r="E374" s="18" t="s">
        <v>920</v>
      </c>
      <c r="F374" s="19" t="n">
        <v>45877</v>
      </c>
      <c r="G374" s="18" t="s">
        <v>125</v>
      </c>
      <c r="H374" s="18" t="s">
        <v>126</v>
      </c>
      <c r="I374" s="18" t="s">
        <v>126</v>
      </c>
      <c r="J374" s="18" t="s">
        <v>126</v>
      </c>
      <c r="K374" s="18"/>
      <c r="L374" s="18" t="s">
        <v>171</v>
      </c>
      <c r="M374" s="18"/>
      <c r="N374" s="18" t="s">
        <v>172</v>
      </c>
    </row>
    <row r="375" customFormat="false" ht="15" hidden="false" customHeight="false" outlineLevel="0" collapsed="false">
      <c r="A375" s="18" t="s">
        <v>764</v>
      </c>
      <c r="B375" s="18" t="s">
        <v>921</v>
      </c>
      <c r="C375" s="18" t="s">
        <v>194</v>
      </c>
      <c r="D375" s="18"/>
      <c r="E375" s="18" t="s">
        <v>922</v>
      </c>
      <c r="F375" s="19" t="n">
        <v>45880</v>
      </c>
      <c r="G375" s="18" t="s">
        <v>125</v>
      </c>
      <c r="H375" s="18" t="s">
        <v>126</v>
      </c>
      <c r="I375" s="18" t="s">
        <v>126</v>
      </c>
      <c r="J375" s="18" t="s">
        <v>126</v>
      </c>
      <c r="K375" s="18"/>
      <c r="L375" s="18" t="s">
        <v>11</v>
      </c>
      <c r="M375" s="20" t="s">
        <v>12</v>
      </c>
      <c r="N375" s="18" t="s">
        <v>147</v>
      </c>
    </row>
    <row r="376" customFormat="false" ht="15" hidden="false" customHeight="false" outlineLevel="0" collapsed="false">
      <c r="A376" s="18" t="s">
        <v>764</v>
      </c>
      <c r="B376" s="18" t="s">
        <v>923</v>
      </c>
      <c r="C376" s="18" t="s">
        <v>194</v>
      </c>
      <c r="D376" s="18"/>
      <c r="E376" s="18" t="s">
        <v>924</v>
      </c>
      <c r="F376" s="19" t="n">
        <v>45881</v>
      </c>
      <c r="G376" s="18" t="s">
        <v>125</v>
      </c>
      <c r="H376" s="18" t="s">
        <v>126</v>
      </c>
      <c r="I376" s="18" t="s">
        <v>126</v>
      </c>
      <c r="J376" s="18" t="s">
        <v>126</v>
      </c>
      <c r="K376" s="18"/>
      <c r="L376" s="18" t="s">
        <v>66</v>
      </c>
      <c r="M376" s="22" t="s">
        <v>50</v>
      </c>
      <c r="N376" s="18" t="s">
        <v>66</v>
      </c>
    </row>
    <row r="377" customFormat="false" ht="15" hidden="false" customHeight="false" outlineLevel="0" collapsed="false">
      <c r="A377" s="18" t="s">
        <v>764</v>
      </c>
      <c r="B377" s="18" t="s">
        <v>925</v>
      </c>
      <c r="C377" s="18" t="s">
        <v>194</v>
      </c>
      <c r="D377" s="18"/>
      <c r="E377" s="18" t="s">
        <v>926</v>
      </c>
      <c r="F377" s="19" t="n">
        <v>45881</v>
      </c>
      <c r="G377" s="18" t="s">
        <v>125</v>
      </c>
      <c r="H377" s="18" t="s">
        <v>126</v>
      </c>
      <c r="I377" s="18" t="s">
        <v>126</v>
      </c>
      <c r="J377" s="18" t="s">
        <v>126</v>
      </c>
      <c r="K377" s="18"/>
      <c r="L377" s="18" t="s">
        <v>171</v>
      </c>
      <c r="M377" s="18"/>
      <c r="N377" s="18" t="s">
        <v>172</v>
      </c>
    </row>
    <row r="378" customFormat="false" ht="15" hidden="false" customHeight="false" outlineLevel="0" collapsed="false">
      <c r="A378" s="18" t="s">
        <v>764</v>
      </c>
      <c r="B378" s="18" t="s">
        <v>927</v>
      </c>
      <c r="C378" s="18" t="s">
        <v>194</v>
      </c>
      <c r="D378" s="18"/>
      <c r="E378" s="18" t="s">
        <v>928</v>
      </c>
      <c r="F378" s="19" t="n">
        <v>45881</v>
      </c>
      <c r="G378" s="18" t="s">
        <v>125</v>
      </c>
      <c r="H378" s="18" t="s">
        <v>126</v>
      </c>
      <c r="I378" s="18" t="s">
        <v>126</v>
      </c>
      <c r="J378" s="18" t="s">
        <v>126</v>
      </c>
      <c r="K378" s="18"/>
      <c r="L378" s="18" t="s">
        <v>36</v>
      </c>
      <c r="M378" s="21" t="s">
        <v>15</v>
      </c>
      <c r="N378" s="18" t="s">
        <v>439</v>
      </c>
    </row>
    <row r="379" customFormat="false" ht="15" hidden="false" customHeight="false" outlineLevel="0" collapsed="false">
      <c r="A379" s="18" t="s">
        <v>764</v>
      </c>
      <c r="B379" s="18" t="s">
        <v>929</v>
      </c>
      <c r="C379" s="18" t="s">
        <v>194</v>
      </c>
      <c r="D379" s="18"/>
      <c r="E379" s="18" t="s">
        <v>930</v>
      </c>
      <c r="F379" s="19" t="n">
        <v>45881</v>
      </c>
      <c r="G379" s="18" t="s">
        <v>125</v>
      </c>
      <c r="H379" s="18" t="s">
        <v>126</v>
      </c>
      <c r="I379" s="18" t="s">
        <v>126</v>
      </c>
      <c r="J379" s="18" t="s">
        <v>126</v>
      </c>
      <c r="K379" s="18"/>
      <c r="L379" s="18" t="s">
        <v>171</v>
      </c>
      <c r="M379" s="18"/>
      <c r="N379" s="18" t="s">
        <v>172</v>
      </c>
    </row>
    <row r="380" customFormat="false" ht="15" hidden="false" customHeight="false" outlineLevel="0" collapsed="false">
      <c r="A380" s="18" t="s">
        <v>764</v>
      </c>
      <c r="B380" s="18" t="s">
        <v>931</v>
      </c>
      <c r="C380" s="18" t="s">
        <v>194</v>
      </c>
      <c r="D380" s="18"/>
      <c r="E380" s="18" t="s">
        <v>932</v>
      </c>
      <c r="F380" s="19" t="n">
        <v>45882</v>
      </c>
      <c r="G380" s="18" t="s">
        <v>125</v>
      </c>
      <c r="H380" s="18" t="s">
        <v>126</v>
      </c>
      <c r="I380" s="18" t="s">
        <v>126</v>
      </c>
      <c r="J380" s="18" t="s">
        <v>126</v>
      </c>
      <c r="K380" s="18"/>
      <c r="L380" s="18" t="s">
        <v>26</v>
      </c>
      <c r="M380" s="20" t="s">
        <v>12</v>
      </c>
      <c r="N380" s="18" t="s">
        <v>135</v>
      </c>
    </row>
    <row r="381" customFormat="false" ht="15" hidden="false" customHeight="false" outlineLevel="0" collapsed="false">
      <c r="A381" s="18" t="s">
        <v>764</v>
      </c>
      <c r="B381" s="18" t="s">
        <v>933</v>
      </c>
      <c r="C381" s="18" t="s">
        <v>194</v>
      </c>
      <c r="D381" s="18"/>
      <c r="E381" s="18" t="s">
        <v>934</v>
      </c>
      <c r="F381" s="19" t="n">
        <v>45883</v>
      </c>
      <c r="G381" s="18" t="s">
        <v>125</v>
      </c>
      <c r="H381" s="18" t="s">
        <v>126</v>
      </c>
      <c r="I381" s="18" t="s">
        <v>126</v>
      </c>
      <c r="J381" s="18" t="s">
        <v>126</v>
      </c>
      <c r="K381" s="18"/>
      <c r="L381" s="18" t="s">
        <v>36</v>
      </c>
      <c r="M381" s="22" t="s">
        <v>50</v>
      </c>
      <c r="N381" s="18" t="s">
        <v>243</v>
      </c>
    </row>
    <row r="382" customFormat="false" ht="15" hidden="false" customHeight="false" outlineLevel="0" collapsed="false">
      <c r="A382" s="18" t="s">
        <v>764</v>
      </c>
      <c r="B382" s="18" t="s">
        <v>935</v>
      </c>
      <c r="C382" s="18" t="s">
        <v>194</v>
      </c>
      <c r="D382" s="18"/>
      <c r="E382" s="18" t="s">
        <v>936</v>
      </c>
      <c r="F382" s="19" t="n">
        <v>45887</v>
      </c>
      <c r="G382" s="18" t="s">
        <v>125</v>
      </c>
      <c r="H382" s="18" t="s">
        <v>126</v>
      </c>
      <c r="I382" s="18" t="s">
        <v>126</v>
      </c>
      <c r="J382" s="18" t="s">
        <v>126</v>
      </c>
      <c r="K382" s="18"/>
      <c r="L382" s="18" t="s">
        <v>28</v>
      </c>
      <c r="M382" s="20" t="s">
        <v>12</v>
      </c>
      <c r="N382" s="18" t="s">
        <v>127</v>
      </c>
    </row>
    <row r="383" customFormat="false" ht="15" hidden="false" customHeight="false" outlineLevel="0" collapsed="false">
      <c r="A383" s="18" t="s">
        <v>764</v>
      </c>
      <c r="B383" s="18" t="s">
        <v>937</v>
      </c>
      <c r="C383" s="18" t="s">
        <v>194</v>
      </c>
      <c r="D383" s="18"/>
      <c r="E383" s="18" t="s">
        <v>938</v>
      </c>
      <c r="F383" s="19" t="n">
        <v>45887</v>
      </c>
      <c r="G383" s="18" t="s">
        <v>125</v>
      </c>
      <c r="H383" s="18" t="s">
        <v>126</v>
      </c>
      <c r="I383" s="18" t="s">
        <v>126</v>
      </c>
      <c r="J383" s="18" t="s">
        <v>165</v>
      </c>
      <c r="K383" s="18" t="s">
        <v>166</v>
      </c>
      <c r="L383" s="18" t="s">
        <v>167</v>
      </c>
      <c r="M383" s="18"/>
      <c r="N383" s="18" t="s">
        <v>168</v>
      </c>
    </row>
    <row r="384" customFormat="false" ht="15" hidden="false" customHeight="false" outlineLevel="0" collapsed="false">
      <c r="A384" s="18" t="s">
        <v>764</v>
      </c>
      <c r="B384" s="18" t="s">
        <v>939</v>
      </c>
      <c r="C384" s="18" t="s">
        <v>194</v>
      </c>
      <c r="D384" s="18"/>
      <c r="E384" s="18" t="s">
        <v>940</v>
      </c>
      <c r="F384" s="19" t="n">
        <v>45888</v>
      </c>
      <c r="G384" s="18" t="s">
        <v>125</v>
      </c>
      <c r="H384" s="18" t="s">
        <v>126</v>
      </c>
      <c r="I384" s="18" t="s">
        <v>126</v>
      </c>
      <c r="J384" s="18" t="s">
        <v>126</v>
      </c>
      <c r="K384" s="18"/>
      <c r="L384" s="18" t="s">
        <v>11</v>
      </c>
      <c r="M384" s="20" t="s">
        <v>12</v>
      </c>
      <c r="N384" s="18" t="s">
        <v>181</v>
      </c>
    </row>
    <row r="385" customFormat="false" ht="15" hidden="false" customHeight="false" outlineLevel="0" collapsed="false">
      <c r="A385" s="18" t="s">
        <v>764</v>
      </c>
      <c r="B385" s="18" t="s">
        <v>941</v>
      </c>
      <c r="C385" s="18" t="s">
        <v>194</v>
      </c>
      <c r="D385" s="18"/>
      <c r="E385" s="18" t="s">
        <v>942</v>
      </c>
      <c r="F385" s="19" t="n">
        <v>45888</v>
      </c>
      <c r="G385" s="18" t="s">
        <v>125</v>
      </c>
      <c r="H385" s="18" t="s">
        <v>126</v>
      </c>
      <c r="I385" s="18" t="s">
        <v>126</v>
      </c>
      <c r="J385" s="18" t="s">
        <v>126</v>
      </c>
      <c r="K385" s="18"/>
      <c r="L385" s="18" t="s">
        <v>11</v>
      </c>
      <c r="M385" s="20" t="s">
        <v>12</v>
      </c>
      <c r="N385" s="18" t="s">
        <v>147</v>
      </c>
    </row>
    <row r="386" customFormat="false" ht="15" hidden="false" customHeight="false" outlineLevel="0" collapsed="false">
      <c r="A386" s="18" t="s">
        <v>764</v>
      </c>
      <c r="B386" s="18" t="s">
        <v>943</v>
      </c>
      <c r="C386" s="18" t="s">
        <v>194</v>
      </c>
      <c r="D386" s="18"/>
      <c r="E386" s="18" t="s">
        <v>944</v>
      </c>
      <c r="F386" s="19" t="n">
        <v>45888</v>
      </c>
      <c r="G386" s="18" t="s">
        <v>196</v>
      </c>
      <c r="H386" s="18" t="s">
        <v>165</v>
      </c>
      <c r="I386" s="18" t="s">
        <v>165</v>
      </c>
      <c r="J386" s="18" t="s">
        <v>126</v>
      </c>
      <c r="K386" s="18"/>
      <c r="L386" s="18" t="s">
        <v>11</v>
      </c>
      <c r="M386" s="20" t="s">
        <v>12</v>
      </c>
      <c r="N386" s="18" t="s">
        <v>181</v>
      </c>
    </row>
    <row r="387" customFormat="false" ht="15" hidden="false" customHeight="false" outlineLevel="0" collapsed="false">
      <c r="A387" s="18" t="s">
        <v>764</v>
      </c>
      <c r="B387" s="18" t="s">
        <v>945</v>
      </c>
      <c r="C387" s="18" t="s">
        <v>194</v>
      </c>
      <c r="D387" s="18"/>
      <c r="E387" s="18" t="s">
        <v>946</v>
      </c>
      <c r="F387" s="19" t="n">
        <v>45888</v>
      </c>
      <c r="G387" s="18" t="s">
        <v>196</v>
      </c>
      <c r="H387" s="18" t="s">
        <v>165</v>
      </c>
      <c r="I387" s="18" t="s">
        <v>165</v>
      </c>
      <c r="J387" s="18" t="s">
        <v>126</v>
      </c>
      <c r="K387" s="18"/>
      <c r="L387" s="18" t="s">
        <v>11</v>
      </c>
      <c r="M387" s="20" t="s">
        <v>12</v>
      </c>
      <c r="N387" s="18" t="s">
        <v>181</v>
      </c>
    </row>
    <row r="388" customFormat="false" ht="15" hidden="false" customHeight="false" outlineLevel="0" collapsed="false">
      <c r="A388" s="18" t="s">
        <v>764</v>
      </c>
      <c r="B388" s="18" t="s">
        <v>947</v>
      </c>
      <c r="C388" s="18" t="s">
        <v>194</v>
      </c>
      <c r="D388" s="18"/>
      <c r="E388" s="18" t="s">
        <v>948</v>
      </c>
      <c r="F388" s="19" t="n">
        <v>45888</v>
      </c>
      <c r="G388" s="18" t="s">
        <v>125</v>
      </c>
      <c r="H388" s="18" t="s">
        <v>126</v>
      </c>
      <c r="I388" s="18" t="s">
        <v>126</v>
      </c>
      <c r="J388" s="18" t="s">
        <v>126</v>
      </c>
      <c r="K388" s="18"/>
      <c r="L388" s="18" t="s">
        <v>59</v>
      </c>
      <c r="M388" s="22" t="s">
        <v>50</v>
      </c>
      <c r="N388" s="18" t="s">
        <v>141</v>
      </c>
    </row>
    <row r="389" customFormat="false" ht="15" hidden="false" customHeight="false" outlineLevel="0" collapsed="false">
      <c r="A389" s="18" t="s">
        <v>764</v>
      </c>
      <c r="B389" s="18" t="s">
        <v>949</v>
      </c>
      <c r="C389" s="18" t="s">
        <v>194</v>
      </c>
      <c r="D389" s="18"/>
      <c r="E389" s="18" t="s">
        <v>950</v>
      </c>
      <c r="F389" s="19" t="n">
        <v>45888</v>
      </c>
      <c r="G389" s="18" t="s">
        <v>125</v>
      </c>
      <c r="H389" s="18" t="s">
        <v>126</v>
      </c>
      <c r="I389" s="18" t="s">
        <v>126</v>
      </c>
      <c r="J389" s="18" t="s">
        <v>126</v>
      </c>
      <c r="K389" s="18"/>
      <c r="L389" s="18" t="s">
        <v>171</v>
      </c>
      <c r="M389" s="18"/>
      <c r="N389" s="18" t="s">
        <v>172</v>
      </c>
    </row>
    <row r="390" customFormat="false" ht="15" hidden="false" customHeight="false" outlineLevel="0" collapsed="false">
      <c r="A390" s="18" t="s">
        <v>764</v>
      </c>
      <c r="B390" s="18" t="s">
        <v>951</v>
      </c>
      <c r="C390" s="18" t="s">
        <v>194</v>
      </c>
      <c r="D390" s="18"/>
      <c r="E390" s="18" t="s">
        <v>952</v>
      </c>
      <c r="F390" s="19" t="n">
        <v>45888</v>
      </c>
      <c r="G390" s="18" t="s">
        <v>125</v>
      </c>
      <c r="H390" s="18" t="s">
        <v>126</v>
      </c>
      <c r="I390" s="18" t="s">
        <v>126</v>
      </c>
      <c r="J390" s="18" t="s">
        <v>126</v>
      </c>
      <c r="K390" s="18"/>
      <c r="L390" s="18" t="s">
        <v>52</v>
      </c>
      <c r="M390" s="22" t="s">
        <v>50</v>
      </c>
      <c r="N390" s="18" t="s">
        <v>178</v>
      </c>
    </row>
    <row r="391" customFormat="false" ht="15" hidden="false" customHeight="false" outlineLevel="0" collapsed="false">
      <c r="A391" s="18" t="s">
        <v>764</v>
      </c>
      <c r="B391" s="18" t="s">
        <v>953</v>
      </c>
      <c r="C391" s="18" t="s">
        <v>194</v>
      </c>
      <c r="D391" s="18"/>
      <c r="E391" s="18" t="s">
        <v>954</v>
      </c>
      <c r="F391" s="19" t="n">
        <v>45888</v>
      </c>
      <c r="G391" s="18" t="s">
        <v>125</v>
      </c>
      <c r="H391" s="18" t="s">
        <v>126</v>
      </c>
      <c r="I391" s="18" t="s">
        <v>126</v>
      </c>
      <c r="J391" s="18" t="s">
        <v>126</v>
      </c>
      <c r="K391" s="18"/>
      <c r="L391" s="18" t="s">
        <v>52</v>
      </c>
      <c r="M391" s="22" t="s">
        <v>50</v>
      </c>
      <c r="N391" s="18" t="s">
        <v>178</v>
      </c>
    </row>
    <row r="392" customFormat="false" ht="15" hidden="false" customHeight="false" outlineLevel="0" collapsed="false">
      <c r="A392" s="18" t="s">
        <v>764</v>
      </c>
      <c r="B392" s="18" t="s">
        <v>955</v>
      </c>
      <c r="C392" s="18" t="s">
        <v>194</v>
      </c>
      <c r="D392" s="18"/>
      <c r="E392" s="18" t="s">
        <v>956</v>
      </c>
      <c r="F392" s="19" t="n">
        <v>45888</v>
      </c>
      <c r="G392" s="18" t="s">
        <v>125</v>
      </c>
      <c r="H392" s="18" t="s">
        <v>126</v>
      </c>
      <c r="I392" s="18" t="s">
        <v>126</v>
      </c>
      <c r="J392" s="18" t="s">
        <v>126</v>
      </c>
      <c r="K392" s="18"/>
      <c r="L392" s="18" t="s">
        <v>52</v>
      </c>
      <c r="M392" s="22" t="s">
        <v>50</v>
      </c>
      <c r="N392" s="18" t="s">
        <v>178</v>
      </c>
    </row>
    <row r="393" customFormat="false" ht="15" hidden="false" customHeight="false" outlineLevel="0" collapsed="false">
      <c r="A393" s="18" t="s">
        <v>764</v>
      </c>
      <c r="B393" s="18" t="s">
        <v>957</v>
      </c>
      <c r="C393" s="18" t="s">
        <v>194</v>
      </c>
      <c r="D393" s="18"/>
      <c r="E393" s="18" t="s">
        <v>958</v>
      </c>
      <c r="F393" s="19" t="n">
        <v>45888</v>
      </c>
      <c r="G393" s="18" t="s">
        <v>125</v>
      </c>
      <c r="H393" s="18" t="s">
        <v>126</v>
      </c>
      <c r="I393" s="18" t="s">
        <v>126</v>
      </c>
      <c r="J393" s="18" t="s">
        <v>126</v>
      </c>
      <c r="K393" s="18"/>
      <c r="L393" s="18" t="s">
        <v>171</v>
      </c>
      <c r="M393" s="18"/>
      <c r="N393" s="18" t="s">
        <v>172</v>
      </c>
    </row>
    <row r="394" customFormat="false" ht="15" hidden="false" customHeight="false" outlineLevel="0" collapsed="false">
      <c r="A394" s="18" t="s">
        <v>764</v>
      </c>
      <c r="B394" s="18" t="s">
        <v>959</v>
      </c>
      <c r="C394" s="18" t="s">
        <v>194</v>
      </c>
      <c r="D394" s="18"/>
      <c r="E394" s="18" t="s">
        <v>960</v>
      </c>
      <c r="F394" s="19" t="n">
        <v>45888</v>
      </c>
      <c r="G394" s="18" t="s">
        <v>125</v>
      </c>
      <c r="H394" s="18" t="s">
        <v>126</v>
      </c>
      <c r="I394" s="18" t="s">
        <v>126</v>
      </c>
      <c r="J394" s="18" t="s">
        <v>126</v>
      </c>
      <c r="K394" s="18"/>
      <c r="L394" s="18" t="s">
        <v>36</v>
      </c>
      <c r="M394" s="22" t="s">
        <v>50</v>
      </c>
      <c r="N394" s="18" t="s">
        <v>243</v>
      </c>
    </row>
    <row r="395" customFormat="false" ht="15" hidden="false" customHeight="false" outlineLevel="0" collapsed="false">
      <c r="A395" s="18" t="s">
        <v>764</v>
      </c>
      <c r="B395" s="18" t="s">
        <v>961</v>
      </c>
      <c r="C395" s="18" t="s">
        <v>194</v>
      </c>
      <c r="D395" s="18"/>
      <c r="E395" s="18" t="s">
        <v>962</v>
      </c>
      <c r="F395" s="19" t="n">
        <v>45888</v>
      </c>
      <c r="G395" s="18" t="s">
        <v>125</v>
      </c>
      <c r="H395" s="18" t="s">
        <v>126</v>
      </c>
      <c r="I395" s="18" t="s">
        <v>126</v>
      </c>
      <c r="J395" s="18" t="s">
        <v>126</v>
      </c>
      <c r="K395" s="18"/>
      <c r="L395" s="18" t="s">
        <v>171</v>
      </c>
      <c r="M395" s="18"/>
      <c r="N395" s="18" t="s">
        <v>172</v>
      </c>
    </row>
    <row r="396" customFormat="false" ht="15" hidden="false" customHeight="false" outlineLevel="0" collapsed="false">
      <c r="A396" s="18" t="s">
        <v>764</v>
      </c>
      <c r="B396" s="18" t="s">
        <v>963</v>
      </c>
      <c r="C396" s="18" t="s">
        <v>194</v>
      </c>
      <c r="D396" s="18"/>
      <c r="E396" s="18" t="s">
        <v>964</v>
      </c>
      <c r="F396" s="19" t="n">
        <v>45889</v>
      </c>
      <c r="G396" s="18" t="s">
        <v>125</v>
      </c>
      <c r="H396" s="18" t="s">
        <v>126</v>
      </c>
      <c r="I396" s="18" t="s">
        <v>126</v>
      </c>
      <c r="J396" s="18" t="s">
        <v>126</v>
      </c>
      <c r="K396" s="18"/>
      <c r="L396" s="18" t="s">
        <v>11</v>
      </c>
      <c r="M396" s="20" t="s">
        <v>12</v>
      </c>
      <c r="N396" s="18" t="s">
        <v>147</v>
      </c>
    </row>
    <row r="397" customFormat="false" ht="15" hidden="false" customHeight="false" outlineLevel="0" collapsed="false">
      <c r="A397" s="18" t="s">
        <v>764</v>
      </c>
      <c r="B397" s="18" t="s">
        <v>965</v>
      </c>
      <c r="C397" s="18" t="s">
        <v>194</v>
      </c>
      <c r="D397" s="18"/>
      <c r="E397" s="18" t="s">
        <v>966</v>
      </c>
      <c r="F397" s="19" t="n">
        <v>45889</v>
      </c>
      <c r="G397" s="18" t="s">
        <v>125</v>
      </c>
      <c r="H397" s="18" t="s">
        <v>126</v>
      </c>
      <c r="I397" s="18" t="s">
        <v>126</v>
      </c>
      <c r="J397" s="18" t="s">
        <v>126</v>
      </c>
      <c r="K397" s="18"/>
      <c r="L397" s="18" t="s">
        <v>36</v>
      </c>
      <c r="M397" s="21" t="s">
        <v>15</v>
      </c>
      <c r="N397" s="18" t="s">
        <v>439</v>
      </c>
    </row>
    <row r="398" customFormat="false" ht="15" hidden="false" customHeight="false" outlineLevel="0" collapsed="false">
      <c r="A398" s="18" t="s">
        <v>764</v>
      </c>
      <c r="B398" s="18" t="s">
        <v>967</v>
      </c>
      <c r="C398" s="18" t="s">
        <v>194</v>
      </c>
      <c r="D398" s="18"/>
      <c r="E398" s="18" t="s">
        <v>968</v>
      </c>
      <c r="F398" s="19" t="n">
        <v>45890</v>
      </c>
      <c r="G398" s="18" t="s">
        <v>125</v>
      </c>
      <c r="H398" s="18" t="s">
        <v>126</v>
      </c>
      <c r="I398" s="18" t="s">
        <v>126</v>
      </c>
      <c r="J398" s="18" t="s">
        <v>126</v>
      </c>
      <c r="K398" s="18"/>
      <c r="L398" s="18" t="s">
        <v>26</v>
      </c>
      <c r="M398" s="20" t="s">
        <v>12</v>
      </c>
      <c r="N398" s="18" t="s">
        <v>135</v>
      </c>
    </row>
    <row r="399" customFormat="false" ht="15" hidden="false" customHeight="false" outlineLevel="0" collapsed="false">
      <c r="A399" s="18" t="s">
        <v>764</v>
      </c>
      <c r="B399" s="18" t="s">
        <v>969</v>
      </c>
      <c r="C399" s="18" t="s">
        <v>194</v>
      </c>
      <c r="D399" s="18"/>
      <c r="E399" s="18" t="s">
        <v>970</v>
      </c>
      <c r="F399" s="19" t="n">
        <v>45890</v>
      </c>
      <c r="G399" s="18" t="s">
        <v>125</v>
      </c>
      <c r="H399" s="18" t="s">
        <v>126</v>
      </c>
      <c r="I399" s="18" t="s">
        <v>126</v>
      </c>
      <c r="J399" s="18" t="s">
        <v>126</v>
      </c>
      <c r="K399" s="18"/>
      <c r="L399" s="18" t="s">
        <v>11</v>
      </c>
      <c r="M399" s="20" t="s">
        <v>12</v>
      </c>
      <c r="N399" s="18" t="s">
        <v>147</v>
      </c>
    </row>
    <row r="400" customFormat="false" ht="15" hidden="false" customHeight="false" outlineLevel="0" collapsed="false">
      <c r="A400" s="18" t="s">
        <v>764</v>
      </c>
      <c r="B400" s="18" t="s">
        <v>971</v>
      </c>
      <c r="C400" s="18" t="s">
        <v>194</v>
      </c>
      <c r="D400" s="18"/>
      <c r="E400" s="18" t="s">
        <v>972</v>
      </c>
      <c r="F400" s="19" t="n">
        <v>45890</v>
      </c>
      <c r="G400" s="18" t="s">
        <v>125</v>
      </c>
      <c r="H400" s="18" t="s">
        <v>126</v>
      </c>
      <c r="I400" s="18" t="s">
        <v>126</v>
      </c>
      <c r="J400" s="18" t="s">
        <v>126</v>
      </c>
      <c r="K400" s="18"/>
      <c r="L400" s="18" t="s">
        <v>11</v>
      </c>
      <c r="M400" s="20" t="s">
        <v>12</v>
      </c>
      <c r="N400" s="18" t="s">
        <v>147</v>
      </c>
    </row>
    <row r="401" customFormat="false" ht="15" hidden="false" customHeight="false" outlineLevel="0" collapsed="false">
      <c r="A401" s="18" t="s">
        <v>764</v>
      </c>
      <c r="B401" s="18" t="s">
        <v>973</v>
      </c>
      <c r="C401" s="18" t="s">
        <v>194</v>
      </c>
      <c r="D401" s="18"/>
      <c r="E401" s="18" t="s">
        <v>974</v>
      </c>
      <c r="F401" s="19" t="n">
        <v>45895</v>
      </c>
      <c r="G401" s="18" t="s">
        <v>125</v>
      </c>
      <c r="H401" s="18" t="s">
        <v>126</v>
      </c>
      <c r="I401" s="18" t="s">
        <v>126</v>
      </c>
      <c r="J401" s="18" t="s">
        <v>126</v>
      </c>
      <c r="K401" s="18"/>
      <c r="L401" s="18" t="s">
        <v>28</v>
      </c>
      <c r="M401" s="20" t="s">
        <v>12</v>
      </c>
      <c r="N401" s="18" t="s">
        <v>127</v>
      </c>
    </row>
    <row r="402" customFormat="false" ht="15" hidden="false" customHeight="false" outlineLevel="0" collapsed="false">
      <c r="A402" s="18" t="s">
        <v>764</v>
      </c>
      <c r="B402" s="18" t="s">
        <v>975</v>
      </c>
      <c r="C402" s="18" t="s">
        <v>194</v>
      </c>
      <c r="D402" s="18"/>
      <c r="E402" s="18" t="s">
        <v>976</v>
      </c>
      <c r="F402" s="19" t="n">
        <v>45896</v>
      </c>
      <c r="G402" s="18" t="s">
        <v>125</v>
      </c>
      <c r="H402" s="18" t="s">
        <v>126</v>
      </c>
      <c r="I402" s="18" t="s">
        <v>126</v>
      </c>
      <c r="J402" s="18" t="s">
        <v>126</v>
      </c>
      <c r="K402" s="18"/>
      <c r="L402" s="18" t="s">
        <v>49</v>
      </c>
      <c r="M402" s="22" t="s">
        <v>50</v>
      </c>
      <c r="N402" s="18" t="s">
        <v>230</v>
      </c>
    </row>
    <row r="403" customFormat="false" ht="15" hidden="false" customHeight="false" outlineLevel="0" collapsed="false">
      <c r="A403" s="18" t="s">
        <v>764</v>
      </c>
      <c r="B403" s="18" t="s">
        <v>977</v>
      </c>
      <c r="C403" s="18" t="s">
        <v>194</v>
      </c>
      <c r="D403" s="18"/>
      <c r="E403" s="18" t="s">
        <v>978</v>
      </c>
      <c r="F403" s="19" t="n">
        <v>45896</v>
      </c>
      <c r="G403" s="18" t="s">
        <v>196</v>
      </c>
      <c r="H403" s="18" t="s">
        <v>165</v>
      </c>
      <c r="I403" s="18" t="s">
        <v>165</v>
      </c>
      <c r="J403" s="18" t="s">
        <v>126</v>
      </c>
      <c r="K403" s="18"/>
      <c r="L403" s="18" t="s">
        <v>52</v>
      </c>
      <c r="M403" s="22" t="s">
        <v>50</v>
      </c>
      <c r="N403" s="18" t="s">
        <v>178</v>
      </c>
    </row>
    <row r="404" customFormat="false" ht="15" hidden="false" customHeight="false" outlineLevel="0" collapsed="false">
      <c r="A404" s="18" t="s">
        <v>764</v>
      </c>
      <c r="B404" s="18" t="s">
        <v>979</v>
      </c>
      <c r="C404" s="18" t="s">
        <v>194</v>
      </c>
      <c r="D404" s="18"/>
      <c r="E404" s="18" t="s">
        <v>980</v>
      </c>
      <c r="F404" s="19" t="n">
        <v>45897</v>
      </c>
      <c r="G404" s="18" t="s">
        <v>125</v>
      </c>
      <c r="H404" s="18" t="s">
        <v>126</v>
      </c>
      <c r="I404" s="18" t="s">
        <v>126</v>
      </c>
      <c r="J404" s="18" t="s">
        <v>126</v>
      </c>
      <c r="K404" s="18"/>
      <c r="L404" s="18" t="s">
        <v>11</v>
      </c>
      <c r="M404" s="20" t="s">
        <v>12</v>
      </c>
      <c r="N404" s="18" t="s">
        <v>147</v>
      </c>
    </row>
    <row r="405" customFormat="false" ht="15" hidden="false" customHeight="false" outlineLevel="0" collapsed="false">
      <c r="A405" s="18" t="s">
        <v>764</v>
      </c>
      <c r="B405" s="18" t="s">
        <v>981</v>
      </c>
      <c r="C405" s="18" t="s">
        <v>194</v>
      </c>
      <c r="D405" s="18"/>
      <c r="E405" s="18" t="s">
        <v>982</v>
      </c>
      <c r="F405" s="19" t="n">
        <v>45897</v>
      </c>
      <c r="G405" s="18" t="s">
        <v>196</v>
      </c>
      <c r="H405" s="18" t="s">
        <v>165</v>
      </c>
      <c r="I405" s="18" t="s">
        <v>165</v>
      </c>
      <c r="J405" s="18" t="s">
        <v>126</v>
      </c>
      <c r="K405" s="18"/>
      <c r="L405" s="18" t="s">
        <v>59</v>
      </c>
      <c r="M405" s="22" t="s">
        <v>50</v>
      </c>
      <c r="N405" s="18" t="s">
        <v>141</v>
      </c>
    </row>
    <row r="406" customFormat="false" ht="15" hidden="false" customHeight="false" outlineLevel="0" collapsed="false">
      <c r="A406" s="18" t="s">
        <v>764</v>
      </c>
      <c r="B406" s="18" t="s">
        <v>983</v>
      </c>
      <c r="C406" s="18" t="s">
        <v>194</v>
      </c>
      <c r="D406" s="18"/>
      <c r="E406" s="18" t="s">
        <v>984</v>
      </c>
      <c r="F406" s="19" t="n">
        <v>45897</v>
      </c>
      <c r="G406" s="18" t="s">
        <v>125</v>
      </c>
      <c r="H406" s="18" t="s">
        <v>126</v>
      </c>
      <c r="I406" s="18" t="s">
        <v>126</v>
      </c>
      <c r="J406" s="18" t="s">
        <v>126</v>
      </c>
      <c r="K406" s="18"/>
      <c r="L406" s="18" t="s">
        <v>59</v>
      </c>
      <c r="M406" s="22" t="s">
        <v>50</v>
      </c>
      <c r="N406" s="18" t="s">
        <v>141</v>
      </c>
    </row>
    <row r="407" customFormat="false" ht="15" hidden="false" customHeight="false" outlineLevel="0" collapsed="false">
      <c r="A407" s="18" t="s">
        <v>764</v>
      </c>
      <c r="B407" s="18" t="s">
        <v>985</v>
      </c>
      <c r="C407" s="18" t="s">
        <v>194</v>
      </c>
      <c r="D407" s="18"/>
      <c r="E407" s="18" t="s">
        <v>986</v>
      </c>
      <c r="F407" s="19" t="n">
        <v>45897</v>
      </c>
      <c r="G407" s="18" t="s">
        <v>125</v>
      </c>
      <c r="H407" s="18" t="s">
        <v>126</v>
      </c>
      <c r="I407" s="18" t="s">
        <v>126</v>
      </c>
      <c r="J407" s="18" t="s">
        <v>126</v>
      </c>
      <c r="K407" s="18"/>
      <c r="L407" s="18" t="s">
        <v>59</v>
      </c>
      <c r="M407" s="22" t="s">
        <v>50</v>
      </c>
      <c r="N407" s="18" t="s">
        <v>141</v>
      </c>
    </row>
    <row r="408" customFormat="false" ht="15" hidden="false" customHeight="false" outlineLevel="0" collapsed="false">
      <c r="A408" s="18" t="s">
        <v>764</v>
      </c>
      <c r="B408" s="18" t="s">
        <v>987</v>
      </c>
      <c r="C408" s="18" t="s">
        <v>194</v>
      </c>
      <c r="D408" s="18"/>
      <c r="E408" s="18" t="s">
        <v>988</v>
      </c>
      <c r="F408" s="19" t="n">
        <v>45897</v>
      </c>
      <c r="G408" s="18" t="s">
        <v>125</v>
      </c>
      <c r="H408" s="18" t="s">
        <v>126</v>
      </c>
      <c r="I408" s="18" t="s">
        <v>126</v>
      </c>
      <c r="J408" s="18" t="s">
        <v>126</v>
      </c>
      <c r="K408" s="18"/>
      <c r="L408" s="18" t="s">
        <v>42</v>
      </c>
      <c r="M408" s="22" t="s">
        <v>50</v>
      </c>
      <c r="N408" s="18" t="s">
        <v>305</v>
      </c>
    </row>
    <row r="409" customFormat="false" ht="15" hidden="false" customHeight="false" outlineLevel="0" collapsed="false">
      <c r="A409" s="18" t="s">
        <v>764</v>
      </c>
      <c r="B409" s="18" t="s">
        <v>989</v>
      </c>
      <c r="C409" s="18" t="s">
        <v>194</v>
      </c>
      <c r="D409" s="18"/>
      <c r="E409" s="18" t="s">
        <v>990</v>
      </c>
      <c r="F409" s="19" t="n">
        <v>45901</v>
      </c>
      <c r="G409" s="18" t="s">
        <v>125</v>
      </c>
      <c r="H409" s="18" t="s">
        <v>126</v>
      </c>
      <c r="I409" s="18" t="s">
        <v>126</v>
      </c>
      <c r="J409" s="18" t="s">
        <v>126</v>
      </c>
      <c r="K409" s="18"/>
      <c r="L409" s="18" t="s">
        <v>34</v>
      </c>
      <c r="M409" s="20" t="s">
        <v>12</v>
      </c>
      <c r="N409" s="18" t="s">
        <v>34</v>
      </c>
    </row>
    <row r="410" customFormat="false" ht="15" hidden="false" customHeight="false" outlineLevel="0" collapsed="false">
      <c r="A410" s="18" t="s">
        <v>764</v>
      </c>
      <c r="B410" s="18" t="s">
        <v>991</v>
      </c>
      <c r="C410" s="18" t="s">
        <v>194</v>
      </c>
      <c r="D410" s="18"/>
      <c r="E410" s="18" t="s">
        <v>992</v>
      </c>
      <c r="F410" s="19" t="n">
        <v>45901</v>
      </c>
      <c r="G410" s="18" t="s">
        <v>196</v>
      </c>
      <c r="H410" s="18" t="s">
        <v>165</v>
      </c>
      <c r="I410" s="18" t="s">
        <v>165</v>
      </c>
      <c r="J410" s="18" t="s">
        <v>126</v>
      </c>
      <c r="K410" s="18"/>
      <c r="L410" s="18" t="s">
        <v>171</v>
      </c>
      <c r="M410" s="18"/>
      <c r="N410" s="18" t="s">
        <v>172</v>
      </c>
    </row>
    <row r="411" customFormat="false" ht="15" hidden="false" customHeight="false" outlineLevel="0" collapsed="false">
      <c r="A411" s="18" t="s">
        <v>764</v>
      </c>
      <c r="B411" s="18" t="s">
        <v>993</v>
      </c>
      <c r="C411" s="18" t="s">
        <v>194</v>
      </c>
      <c r="D411" s="18"/>
      <c r="E411" s="18" t="s">
        <v>994</v>
      </c>
      <c r="F411" s="19" t="n">
        <v>45901</v>
      </c>
      <c r="G411" s="18" t="s">
        <v>125</v>
      </c>
      <c r="H411" s="18" t="s">
        <v>126</v>
      </c>
      <c r="I411" s="18" t="s">
        <v>126</v>
      </c>
      <c r="J411" s="18" t="s">
        <v>126</v>
      </c>
      <c r="K411" s="18"/>
      <c r="L411" s="18" t="s">
        <v>11</v>
      </c>
      <c r="M411" s="20" t="s">
        <v>12</v>
      </c>
      <c r="N411" s="18" t="s">
        <v>147</v>
      </c>
    </row>
    <row r="412" customFormat="false" ht="15" hidden="false" customHeight="false" outlineLevel="0" collapsed="false">
      <c r="A412" s="18" t="s">
        <v>764</v>
      </c>
      <c r="B412" s="18" t="s">
        <v>995</v>
      </c>
      <c r="C412" s="18" t="s">
        <v>194</v>
      </c>
      <c r="D412" s="18"/>
      <c r="E412" s="18" t="s">
        <v>996</v>
      </c>
      <c r="F412" s="19" t="n">
        <v>45901</v>
      </c>
      <c r="G412" s="18" t="s">
        <v>125</v>
      </c>
      <c r="H412" s="18" t="s">
        <v>126</v>
      </c>
      <c r="I412" s="18" t="s">
        <v>126</v>
      </c>
      <c r="J412" s="18" t="s">
        <v>126</v>
      </c>
      <c r="K412" s="18"/>
      <c r="L412" s="18" t="s">
        <v>171</v>
      </c>
      <c r="M412" s="18"/>
      <c r="N412" s="18" t="s">
        <v>172</v>
      </c>
    </row>
    <row r="413" customFormat="false" ht="15" hidden="false" customHeight="false" outlineLevel="0" collapsed="false">
      <c r="A413" s="18" t="s">
        <v>764</v>
      </c>
      <c r="B413" s="18" t="s">
        <v>997</v>
      </c>
      <c r="C413" s="18" t="s">
        <v>194</v>
      </c>
      <c r="D413" s="18"/>
      <c r="E413" s="18" t="s">
        <v>998</v>
      </c>
      <c r="F413" s="19" t="n">
        <v>45902</v>
      </c>
      <c r="G413" s="18" t="s">
        <v>125</v>
      </c>
      <c r="H413" s="18" t="s">
        <v>126</v>
      </c>
      <c r="I413" s="18" t="s">
        <v>126</v>
      </c>
      <c r="J413" s="18" t="s">
        <v>126</v>
      </c>
      <c r="K413" s="18"/>
      <c r="L413" s="18" t="s">
        <v>171</v>
      </c>
      <c r="M413" s="18"/>
      <c r="N413" s="18" t="s">
        <v>172</v>
      </c>
    </row>
    <row r="414" customFormat="false" ht="15" hidden="false" customHeight="false" outlineLevel="0" collapsed="false">
      <c r="A414" s="18" t="s">
        <v>764</v>
      </c>
      <c r="B414" s="18" t="s">
        <v>999</v>
      </c>
      <c r="C414" s="18" t="s">
        <v>194</v>
      </c>
      <c r="D414" s="18"/>
      <c r="E414" s="18" t="s">
        <v>1000</v>
      </c>
      <c r="F414" s="19" t="n">
        <v>45902</v>
      </c>
      <c r="G414" s="18" t="s">
        <v>125</v>
      </c>
      <c r="H414" s="18" t="s">
        <v>126</v>
      </c>
      <c r="I414" s="18" t="s">
        <v>126</v>
      </c>
      <c r="J414" s="18" t="s">
        <v>165</v>
      </c>
      <c r="K414" s="18" t="s">
        <v>166</v>
      </c>
      <c r="L414" s="18" t="s">
        <v>167</v>
      </c>
      <c r="M414" s="18"/>
      <c r="N414" s="18" t="s">
        <v>168</v>
      </c>
    </row>
    <row r="415" customFormat="false" ht="15" hidden="false" customHeight="false" outlineLevel="0" collapsed="false">
      <c r="A415" s="18" t="s">
        <v>764</v>
      </c>
      <c r="B415" s="18" t="s">
        <v>1001</v>
      </c>
      <c r="C415" s="18" t="s">
        <v>194</v>
      </c>
      <c r="D415" s="18"/>
      <c r="E415" s="18" t="s">
        <v>1002</v>
      </c>
      <c r="F415" s="19" t="n">
        <v>45902</v>
      </c>
      <c r="G415" s="18" t="s">
        <v>125</v>
      </c>
      <c r="H415" s="18" t="s">
        <v>126</v>
      </c>
      <c r="I415" s="18" t="s">
        <v>126</v>
      </c>
      <c r="J415" s="18" t="s">
        <v>126</v>
      </c>
      <c r="K415" s="18"/>
      <c r="L415" s="18" t="s">
        <v>11</v>
      </c>
      <c r="M415" s="20" t="s">
        <v>12</v>
      </c>
      <c r="N415" s="18" t="s">
        <v>147</v>
      </c>
    </row>
    <row r="416" customFormat="false" ht="15" hidden="false" customHeight="false" outlineLevel="0" collapsed="false">
      <c r="A416" s="18" t="s">
        <v>764</v>
      </c>
      <c r="B416" s="18" t="s">
        <v>1003</v>
      </c>
      <c r="C416" s="18" t="s">
        <v>194</v>
      </c>
      <c r="D416" s="18"/>
      <c r="E416" s="18" t="s">
        <v>1004</v>
      </c>
      <c r="F416" s="19" t="n">
        <v>45903</v>
      </c>
      <c r="G416" s="18" t="s">
        <v>125</v>
      </c>
      <c r="H416" s="18" t="s">
        <v>126</v>
      </c>
      <c r="I416" s="18" t="s">
        <v>126</v>
      </c>
      <c r="J416" s="18" t="s">
        <v>126</v>
      </c>
      <c r="K416" s="18"/>
      <c r="L416" s="18" t="s">
        <v>171</v>
      </c>
      <c r="M416" s="18"/>
      <c r="N416" s="18" t="s">
        <v>172</v>
      </c>
    </row>
    <row r="417" customFormat="false" ht="15" hidden="false" customHeight="false" outlineLevel="0" collapsed="false">
      <c r="A417" s="18" t="s">
        <v>764</v>
      </c>
      <c r="B417" s="18" t="s">
        <v>1005</v>
      </c>
      <c r="C417" s="18" t="s">
        <v>194</v>
      </c>
      <c r="D417" s="18"/>
      <c r="E417" s="18" t="s">
        <v>1006</v>
      </c>
      <c r="F417" s="19" t="n">
        <v>45904</v>
      </c>
      <c r="G417" s="18" t="s">
        <v>125</v>
      </c>
      <c r="H417" s="18" t="s">
        <v>126</v>
      </c>
      <c r="I417" s="18" t="s">
        <v>126</v>
      </c>
      <c r="J417" s="18" t="s">
        <v>126</v>
      </c>
      <c r="K417" s="18"/>
      <c r="L417" s="18" t="s">
        <v>11</v>
      </c>
      <c r="M417" s="20" t="s">
        <v>12</v>
      </c>
      <c r="N417" s="18" t="s">
        <v>147</v>
      </c>
    </row>
    <row r="418" customFormat="false" ht="15" hidden="false" customHeight="false" outlineLevel="0" collapsed="false">
      <c r="A418" s="18" t="s">
        <v>764</v>
      </c>
      <c r="B418" s="18" t="s">
        <v>1007</v>
      </c>
      <c r="C418" s="18" t="s">
        <v>194</v>
      </c>
      <c r="D418" s="18"/>
      <c r="E418" s="18" t="s">
        <v>1008</v>
      </c>
      <c r="F418" s="19" t="n">
        <v>45904</v>
      </c>
      <c r="G418" s="18" t="s">
        <v>125</v>
      </c>
      <c r="H418" s="18" t="s">
        <v>126</v>
      </c>
      <c r="I418" s="18" t="s">
        <v>126</v>
      </c>
      <c r="J418" s="18" t="s">
        <v>126</v>
      </c>
      <c r="K418" s="18"/>
      <c r="L418" s="18" t="s">
        <v>36</v>
      </c>
      <c r="M418" s="22" t="s">
        <v>50</v>
      </c>
      <c r="N418" s="18" t="s">
        <v>243</v>
      </c>
    </row>
    <row r="419" customFormat="false" ht="15" hidden="false" customHeight="false" outlineLevel="0" collapsed="false">
      <c r="A419" s="18" t="s">
        <v>764</v>
      </c>
      <c r="B419" s="18" t="s">
        <v>1009</v>
      </c>
      <c r="C419" s="18" t="s">
        <v>194</v>
      </c>
      <c r="D419" s="18"/>
      <c r="E419" s="18" t="s">
        <v>1010</v>
      </c>
      <c r="F419" s="19" t="n">
        <v>45904</v>
      </c>
      <c r="G419" s="18" t="s">
        <v>125</v>
      </c>
      <c r="H419" s="18" t="s">
        <v>126</v>
      </c>
      <c r="I419" s="18" t="s">
        <v>126</v>
      </c>
      <c r="J419" s="18" t="s">
        <v>126</v>
      </c>
      <c r="K419" s="18"/>
      <c r="L419" s="18" t="s">
        <v>204</v>
      </c>
      <c r="M419" s="18"/>
      <c r="N419" s="18" t="s">
        <v>220</v>
      </c>
    </row>
    <row r="420" customFormat="false" ht="15" hidden="false" customHeight="false" outlineLevel="0" collapsed="false">
      <c r="A420" s="18" t="s">
        <v>764</v>
      </c>
      <c r="B420" s="18" t="s">
        <v>1011</v>
      </c>
      <c r="C420" s="18" t="s">
        <v>194</v>
      </c>
      <c r="D420" s="18"/>
      <c r="E420" s="18" t="s">
        <v>1012</v>
      </c>
      <c r="F420" s="19" t="n">
        <v>45905</v>
      </c>
      <c r="G420" s="18" t="s">
        <v>125</v>
      </c>
      <c r="H420" s="18" t="s">
        <v>126</v>
      </c>
      <c r="I420" s="18" t="s">
        <v>126</v>
      </c>
      <c r="J420" s="18" t="s">
        <v>126</v>
      </c>
      <c r="K420" s="18"/>
      <c r="L420" s="18" t="s">
        <v>11</v>
      </c>
      <c r="M420" s="20" t="s">
        <v>12</v>
      </c>
      <c r="N420" s="18" t="s">
        <v>181</v>
      </c>
    </row>
    <row r="421" customFormat="false" ht="15" hidden="false" customHeight="false" outlineLevel="0" collapsed="false">
      <c r="A421" s="18" t="s">
        <v>764</v>
      </c>
      <c r="B421" s="18" t="s">
        <v>1013</v>
      </c>
      <c r="C421" s="18" t="s">
        <v>194</v>
      </c>
      <c r="D421" s="18"/>
      <c r="E421" s="18" t="s">
        <v>1014</v>
      </c>
      <c r="F421" s="19" t="n">
        <v>45905</v>
      </c>
      <c r="G421" s="18" t="s">
        <v>125</v>
      </c>
      <c r="H421" s="18" t="s">
        <v>126</v>
      </c>
      <c r="I421" s="18" t="s">
        <v>126</v>
      </c>
      <c r="J421" s="18" t="s">
        <v>126</v>
      </c>
      <c r="K421" s="18"/>
      <c r="L421" s="18" t="s">
        <v>11</v>
      </c>
      <c r="M421" s="20" t="s">
        <v>12</v>
      </c>
      <c r="N421" s="18" t="s">
        <v>181</v>
      </c>
    </row>
    <row r="422" customFormat="false" ht="15" hidden="false" customHeight="false" outlineLevel="0" collapsed="false">
      <c r="A422" s="18" t="s">
        <v>764</v>
      </c>
      <c r="B422" s="18" t="s">
        <v>1015</v>
      </c>
      <c r="C422" s="18" t="s">
        <v>194</v>
      </c>
      <c r="D422" s="18"/>
      <c r="E422" s="18" t="s">
        <v>1016</v>
      </c>
      <c r="F422" s="19" t="n">
        <v>45905</v>
      </c>
      <c r="G422" s="18" t="s">
        <v>125</v>
      </c>
      <c r="H422" s="18" t="s">
        <v>126</v>
      </c>
      <c r="I422" s="18" t="s">
        <v>126</v>
      </c>
      <c r="J422" s="18" t="s">
        <v>126</v>
      </c>
      <c r="K422" s="18"/>
      <c r="L422" s="18" t="s">
        <v>59</v>
      </c>
      <c r="M422" s="22" t="s">
        <v>50</v>
      </c>
      <c r="N422" s="18" t="s">
        <v>141</v>
      </c>
    </row>
    <row r="423" customFormat="false" ht="15" hidden="false" customHeight="false" outlineLevel="0" collapsed="false">
      <c r="A423" s="18" t="s">
        <v>764</v>
      </c>
      <c r="B423" s="18" t="s">
        <v>1017</v>
      </c>
      <c r="C423" s="18" t="s">
        <v>194</v>
      </c>
      <c r="D423" s="18"/>
      <c r="E423" s="18" t="s">
        <v>1018</v>
      </c>
      <c r="F423" s="19" t="n">
        <v>45905</v>
      </c>
      <c r="G423" s="18" t="s">
        <v>125</v>
      </c>
      <c r="H423" s="18" t="s">
        <v>126</v>
      </c>
      <c r="I423" s="18" t="s">
        <v>126</v>
      </c>
      <c r="J423" s="18" t="s">
        <v>126</v>
      </c>
      <c r="K423" s="18"/>
      <c r="L423" s="18" t="s">
        <v>11</v>
      </c>
      <c r="M423" s="20" t="s">
        <v>12</v>
      </c>
      <c r="N423" s="18" t="s">
        <v>147</v>
      </c>
    </row>
    <row r="424" customFormat="false" ht="15" hidden="false" customHeight="false" outlineLevel="0" collapsed="false">
      <c r="A424" s="18" t="s">
        <v>764</v>
      </c>
      <c r="B424" s="18" t="s">
        <v>1019</v>
      </c>
      <c r="C424" s="18" t="s">
        <v>194</v>
      </c>
      <c r="D424" s="18"/>
      <c r="E424" s="18" t="s">
        <v>1020</v>
      </c>
      <c r="F424" s="19" t="n">
        <v>45905</v>
      </c>
      <c r="G424" s="18" t="s">
        <v>125</v>
      </c>
      <c r="H424" s="18" t="s">
        <v>126</v>
      </c>
      <c r="I424" s="18" t="s">
        <v>126</v>
      </c>
      <c r="J424" s="18" t="s">
        <v>126</v>
      </c>
      <c r="K424" s="18"/>
      <c r="L424" s="18" t="s">
        <v>54</v>
      </c>
      <c r="M424" s="22" t="s">
        <v>50</v>
      </c>
      <c r="N424" s="18" t="s">
        <v>278</v>
      </c>
    </row>
    <row r="425" customFormat="false" ht="15" hidden="false" customHeight="false" outlineLevel="0" collapsed="false">
      <c r="A425" s="18" t="s">
        <v>764</v>
      </c>
      <c r="B425" s="18" t="s">
        <v>1021</v>
      </c>
      <c r="C425" s="18" t="s">
        <v>194</v>
      </c>
      <c r="D425" s="18"/>
      <c r="E425" s="18" t="s">
        <v>1022</v>
      </c>
      <c r="F425" s="19" t="n">
        <v>45908</v>
      </c>
      <c r="G425" s="18" t="s">
        <v>125</v>
      </c>
      <c r="H425" s="18" t="s">
        <v>126</v>
      </c>
      <c r="I425" s="18" t="s">
        <v>126</v>
      </c>
      <c r="J425" s="18" t="s">
        <v>126</v>
      </c>
      <c r="K425" s="18"/>
      <c r="L425" s="18" t="s">
        <v>52</v>
      </c>
      <c r="M425" s="22" t="s">
        <v>50</v>
      </c>
      <c r="N425" s="18" t="s">
        <v>178</v>
      </c>
    </row>
    <row r="426" customFormat="false" ht="15" hidden="false" customHeight="false" outlineLevel="0" collapsed="false">
      <c r="A426" s="18" t="s">
        <v>764</v>
      </c>
      <c r="B426" s="18" t="s">
        <v>1023</v>
      </c>
      <c r="C426" s="18" t="s">
        <v>194</v>
      </c>
      <c r="D426" s="18"/>
      <c r="E426" s="18" t="s">
        <v>1024</v>
      </c>
      <c r="F426" s="19" t="n">
        <v>45909</v>
      </c>
      <c r="G426" s="18" t="s">
        <v>125</v>
      </c>
      <c r="H426" s="18" t="s">
        <v>126</v>
      </c>
      <c r="I426" s="18" t="s">
        <v>126</v>
      </c>
      <c r="J426" s="18" t="s">
        <v>126</v>
      </c>
      <c r="K426" s="18"/>
      <c r="L426" s="18" t="s">
        <v>171</v>
      </c>
      <c r="M426" s="18"/>
      <c r="N426" s="18" t="s">
        <v>172</v>
      </c>
    </row>
    <row r="427" customFormat="false" ht="15" hidden="false" customHeight="false" outlineLevel="0" collapsed="false">
      <c r="A427" s="18" t="s">
        <v>764</v>
      </c>
      <c r="B427" s="18" t="s">
        <v>1025</v>
      </c>
      <c r="C427" s="18" t="s">
        <v>194</v>
      </c>
      <c r="D427" s="18"/>
      <c r="E427" s="18" t="s">
        <v>1026</v>
      </c>
      <c r="F427" s="19" t="n">
        <v>45909</v>
      </c>
      <c r="G427" s="18" t="s">
        <v>125</v>
      </c>
      <c r="H427" s="18" t="s">
        <v>126</v>
      </c>
      <c r="I427" s="18" t="s">
        <v>126</v>
      </c>
      <c r="J427" s="18" t="s">
        <v>126</v>
      </c>
      <c r="K427" s="18"/>
      <c r="L427" s="18" t="s">
        <v>52</v>
      </c>
      <c r="M427" s="22" t="s">
        <v>50</v>
      </c>
      <c r="N427" s="18" t="s">
        <v>178</v>
      </c>
    </row>
    <row r="428" customFormat="false" ht="15" hidden="false" customHeight="false" outlineLevel="0" collapsed="false">
      <c r="A428" s="18" t="s">
        <v>764</v>
      </c>
      <c r="B428" s="18" t="s">
        <v>1027</v>
      </c>
      <c r="C428" s="18" t="s">
        <v>194</v>
      </c>
      <c r="D428" s="18"/>
      <c r="E428" s="18" t="s">
        <v>1028</v>
      </c>
      <c r="F428" s="19" t="n">
        <v>45910</v>
      </c>
      <c r="G428" s="18" t="s">
        <v>125</v>
      </c>
      <c r="H428" s="18" t="s">
        <v>126</v>
      </c>
      <c r="I428" s="18" t="s">
        <v>126</v>
      </c>
      <c r="J428" s="18" t="s">
        <v>126</v>
      </c>
      <c r="K428" s="18"/>
      <c r="L428" s="18" t="s">
        <v>52</v>
      </c>
      <c r="M428" s="21" t="s">
        <v>15</v>
      </c>
      <c r="N428" s="18" t="s">
        <v>241</v>
      </c>
    </row>
    <row r="429" customFormat="false" ht="15" hidden="false" customHeight="false" outlineLevel="0" collapsed="false">
      <c r="A429" s="18" t="s">
        <v>764</v>
      </c>
      <c r="B429" s="18" t="s">
        <v>1029</v>
      </c>
      <c r="C429" s="18" t="s">
        <v>194</v>
      </c>
      <c r="D429" s="18"/>
      <c r="E429" s="18" t="s">
        <v>1030</v>
      </c>
      <c r="F429" s="19" t="n">
        <v>45912</v>
      </c>
      <c r="G429" s="18" t="s">
        <v>125</v>
      </c>
      <c r="H429" s="18" t="s">
        <v>126</v>
      </c>
      <c r="I429" s="18" t="s">
        <v>126</v>
      </c>
      <c r="J429" s="18" t="s">
        <v>126</v>
      </c>
      <c r="K429" s="18"/>
      <c r="L429" s="18" t="s">
        <v>52</v>
      </c>
      <c r="M429" s="22" t="s">
        <v>50</v>
      </c>
      <c r="N429" s="18" t="s">
        <v>178</v>
      </c>
    </row>
    <row r="430" customFormat="false" ht="15" hidden="false" customHeight="false" outlineLevel="0" collapsed="false">
      <c r="A430" s="18" t="s">
        <v>764</v>
      </c>
      <c r="B430" s="18" t="s">
        <v>1031</v>
      </c>
      <c r="C430" s="18" t="s">
        <v>194</v>
      </c>
      <c r="D430" s="18"/>
      <c r="E430" s="18" t="s">
        <v>1032</v>
      </c>
      <c r="F430" s="19" t="n">
        <v>45912</v>
      </c>
      <c r="G430" s="18" t="s">
        <v>125</v>
      </c>
      <c r="H430" s="18" t="s">
        <v>126</v>
      </c>
      <c r="I430" s="18" t="s">
        <v>126</v>
      </c>
      <c r="J430" s="18" t="s">
        <v>126</v>
      </c>
      <c r="K430" s="18"/>
      <c r="L430" s="18" t="s">
        <v>171</v>
      </c>
      <c r="M430" s="18"/>
      <c r="N430" s="18" t="s">
        <v>172</v>
      </c>
    </row>
    <row r="431" customFormat="false" ht="15" hidden="false" customHeight="false" outlineLevel="0" collapsed="false">
      <c r="A431" s="18" t="s">
        <v>764</v>
      </c>
      <c r="B431" s="18" t="s">
        <v>1033</v>
      </c>
      <c r="C431" s="18" t="s">
        <v>194</v>
      </c>
      <c r="D431" s="18"/>
      <c r="E431" s="18" t="s">
        <v>1034</v>
      </c>
      <c r="F431" s="19" t="n">
        <v>45918</v>
      </c>
      <c r="G431" s="18" t="s">
        <v>125</v>
      </c>
      <c r="H431" s="18" t="s">
        <v>126</v>
      </c>
      <c r="I431" s="18" t="s">
        <v>126</v>
      </c>
      <c r="J431" s="18" t="s">
        <v>126</v>
      </c>
      <c r="K431" s="18"/>
      <c r="L431" s="18" t="s">
        <v>36</v>
      </c>
      <c r="M431" s="22" t="s">
        <v>50</v>
      </c>
      <c r="N431" s="18" t="s">
        <v>243</v>
      </c>
    </row>
    <row r="432" customFormat="false" ht="15" hidden="false" customHeight="false" outlineLevel="0" collapsed="false">
      <c r="A432" s="18" t="s">
        <v>764</v>
      </c>
      <c r="B432" s="18" t="s">
        <v>1035</v>
      </c>
      <c r="C432" s="18" t="s">
        <v>194</v>
      </c>
      <c r="D432" s="18"/>
      <c r="E432" s="18" t="s">
        <v>1036</v>
      </c>
      <c r="F432" s="19" t="n">
        <v>45918</v>
      </c>
      <c r="G432" s="18" t="s">
        <v>125</v>
      </c>
      <c r="H432" s="18" t="s">
        <v>126</v>
      </c>
      <c r="I432" s="18" t="s">
        <v>126</v>
      </c>
      <c r="J432" s="18" t="s">
        <v>126</v>
      </c>
      <c r="K432" s="18"/>
      <c r="L432" s="18" t="s">
        <v>171</v>
      </c>
      <c r="M432" s="18"/>
      <c r="N432" s="18" t="s">
        <v>172</v>
      </c>
    </row>
    <row r="433" customFormat="false" ht="15" hidden="false" customHeight="false" outlineLevel="0" collapsed="false">
      <c r="A433" s="18" t="s">
        <v>764</v>
      </c>
      <c r="B433" s="18" t="s">
        <v>1037</v>
      </c>
      <c r="C433" s="18" t="s">
        <v>194</v>
      </c>
      <c r="D433" s="18"/>
      <c r="E433" s="18" t="s">
        <v>1038</v>
      </c>
      <c r="F433" s="19" t="n">
        <v>45919</v>
      </c>
      <c r="G433" s="18" t="s">
        <v>125</v>
      </c>
      <c r="H433" s="18" t="s">
        <v>126</v>
      </c>
      <c r="I433" s="18" t="s">
        <v>126</v>
      </c>
      <c r="J433" s="18" t="s">
        <v>126</v>
      </c>
      <c r="K433" s="18"/>
      <c r="L433" s="18" t="s">
        <v>52</v>
      </c>
      <c r="M433" s="22" t="s">
        <v>50</v>
      </c>
      <c r="N433" s="18" t="s">
        <v>178</v>
      </c>
    </row>
    <row r="434" customFormat="false" ht="15" hidden="false" customHeight="false" outlineLevel="0" collapsed="false">
      <c r="A434" s="18" t="s">
        <v>764</v>
      </c>
      <c r="B434" s="18" t="s">
        <v>1039</v>
      </c>
      <c r="C434" s="18" t="s">
        <v>194</v>
      </c>
      <c r="D434" s="18"/>
      <c r="E434" s="18" t="s">
        <v>1040</v>
      </c>
      <c r="F434" s="19" t="n">
        <v>45922</v>
      </c>
      <c r="G434" s="18" t="s">
        <v>196</v>
      </c>
      <c r="H434" s="18" t="s">
        <v>165</v>
      </c>
      <c r="I434" s="18" t="s">
        <v>165</v>
      </c>
      <c r="J434" s="18" t="s">
        <v>126</v>
      </c>
      <c r="K434" s="18"/>
      <c r="L434" s="18" t="s">
        <v>11</v>
      </c>
      <c r="M434" s="20" t="s">
        <v>12</v>
      </c>
      <c r="N434" s="18" t="s">
        <v>147</v>
      </c>
    </row>
    <row r="435" customFormat="false" ht="15" hidden="false" customHeight="false" outlineLevel="0" collapsed="false">
      <c r="A435" s="18" t="s">
        <v>764</v>
      </c>
      <c r="B435" s="18" t="s">
        <v>1041</v>
      </c>
      <c r="C435" s="18" t="s">
        <v>194</v>
      </c>
      <c r="D435" s="18"/>
      <c r="E435" s="18" t="s">
        <v>1042</v>
      </c>
      <c r="F435" s="19" t="n">
        <v>45923</v>
      </c>
      <c r="G435" s="18" t="s">
        <v>196</v>
      </c>
      <c r="H435" s="18" t="s">
        <v>165</v>
      </c>
      <c r="I435" s="18" t="s">
        <v>165</v>
      </c>
      <c r="J435" s="18" t="s">
        <v>126</v>
      </c>
      <c r="K435" s="18"/>
      <c r="L435" s="18" t="s">
        <v>171</v>
      </c>
      <c r="M435" s="18"/>
      <c r="N435" s="18" t="s">
        <v>172</v>
      </c>
    </row>
    <row r="436" customFormat="false" ht="15" hidden="false" customHeight="false" outlineLevel="0" collapsed="false">
      <c r="A436" s="18" t="s">
        <v>764</v>
      </c>
      <c r="B436" s="18" t="s">
        <v>1043</v>
      </c>
      <c r="C436" s="18" t="s">
        <v>194</v>
      </c>
      <c r="D436" s="18"/>
      <c r="E436" s="18" t="s">
        <v>1044</v>
      </c>
      <c r="F436" s="19" t="n">
        <v>45923</v>
      </c>
      <c r="G436" s="18" t="s">
        <v>125</v>
      </c>
      <c r="H436" s="18" t="s">
        <v>126</v>
      </c>
      <c r="I436" s="18" t="s">
        <v>126</v>
      </c>
      <c r="J436" s="18" t="s">
        <v>126</v>
      </c>
      <c r="K436" s="18"/>
      <c r="L436" s="18" t="s">
        <v>56</v>
      </c>
      <c r="M436" s="20" t="s">
        <v>12</v>
      </c>
      <c r="N436" s="18" t="s">
        <v>268</v>
      </c>
    </row>
    <row r="437" customFormat="false" ht="15" hidden="false" customHeight="false" outlineLevel="0" collapsed="false">
      <c r="A437" s="18" t="s">
        <v>764</v>
      </c>
      <c r="B437" s="18" t="s">
        <v>1045</v>
      </c>
      <c r="C437" s="18" t="s">
        <v>194</v>
      </c>
      <c r="D437" s="18"/>
      <c r="E437" s="18" t="s">
        <v>1046</v>
      </c>
      <c r="F437" s="19" t="n">
        <v>45924</v>
      </c>
      <c r="G437" s="18" t="s">
        <v>125</v>
      </c>
      <c r="H437" s="18" t="s">
        <v>126</v>
      </c>
      <c r="I437" s="18" t="s">
        <v>126</v>
      </c>
      <c r="J437" s="18" t="s">
        <v>126</v>
      </c>
      <c r="K437" s="18"/>
      <c r="L437" s="18" t="s">
        <v>26</v>
      </c>
      <c r="M437" s="20" t="s">
        <v>12</v>
      </c>
      <c r="N437" s="18" t="s">
        <v>135</v>
      </c>
    </row>
    <row r="438" customFormat="false" ht="15" hidden="false" customHeight="false" outlineLevel="0" collapsed="false">
      <c r="A438" s="18" t="s">
        <v>764</v>
      </c>
      <c r="B438" s="18" t="s">
        <v>1047</v>
      </c>
      <c r="C438" s="18" t="s">
        <v>194</v>
      </c>
      <c r="D438" s="18"/>
      <c r="E438" s="18" t="s">
        <v>1048</v>
      </c>
      <c r="F438" s="19" t="n">
        <v>45925</v>
      </c>
      <c r="G438" s="18" t="s">
        <v>125</v>
      </c>
      <c r="H438" s="18" t="s">
        <v>126</v>
      </c>
      <c r="I438" s="18" t="s">
        <v>126</v>
      </c>
      <c r="J438" s="18" t="s">
        <v>126</v>
      </c>
      <c r="K438" s="18"/>
      <c r="L438" s="18" t="s">
        <v>83</v>
      </c>
      <c r="M438" s="20" t="s">
        <v>12</v>
      </c>
      <c r="N438" s="18" t="s">
        <v>144</v>
      </c>
    </row>
    <row r="439" customFormat="false" ht="15" hidden="false" customHeight="false" outlineLevel="0" collapsed="false">
      <c r="A439" s="18" t="s">
        <v>764</v>
      </c>
      <c r="B439" s="18" t="s">
        <v>1049</v>
      </c>
      <c r="C439" s="18" t="s">
        <v>194</v>
      </c>
      <c r="D439" s="18"/>
      <c r="E439" s="18" t="s">
        <v>1050</v>
      </c>
      <c r="F439" s="19" t="n">
        <v>45931</v>
      </c>
      <c r="G439" s="18" t="s">
        <v>125</v>
      </c>
      <c r="H439" s="18" t="s">
        <v>126</v>
      </c>
      <c r="I439" s="18" t="s">
        <v>126</v>
      </c>
      <c r="J439" s="18" t="s">
        <v>126</v>
      </c>
      <c r="K439" s="18"/>
      <c r="L439" s="18" t="s">
        <v>89</v>
      </c>
      <c r="M439" s="20" t="s">
        <v>12</v>
      </c>
      <c r="N439" s="18" t="s">
        <v>197</v>
      </c>
    </row>
    <row r="440" customFormat="false" ht="15" hidden="false" customHeight="false" outlineLevel="0" collapsed="false">
      <c r="A440" s="18" t="s">
        <v>764</v>
      </c>
      <c r="B440" s="18" t="s">
        <v>1051</v>
      </c>
      <c r="C440" s="18" t="s">
        <v>194</v>
      </c>
      <c r="D440" s="18"/>
      <c r="E440" s="18" t="s">
        <v>1052</v>
      </c>
      <c r="F440" s="19" t="n">
        <v>45936</v>
      </c>
      <c r="G440" s="18" t="s">
        <v>125</v>
      </c>
      <c r="H440" s="18" t="s">
        <v>126</v>
      </c>
      <c r="I440" s="18" t="s">
        <v>126</v>
      </c>
      <c r="J440" s="18" t="s">
        <v>126</v>
      </c>
      <c r="K440" s="18"/>
      <c r="L440" s="18" t="s">
        <v>11</v>
      </c>
      <c r="M440" s="20" t="s">
        <v>12</v>
      </c>
      <c r="N440" s="18" t="s">
        <v>147</v>
      </c>
    </row>
    <row r="441" customFormat="false" ht="15" hidden="false" customHeight="false" outlineLevel="0" collapsed="false">
      <c r="A441" s="18" t="s">
        <v>764</v>
      </c>
      <c r="B441" s="18" t="s">
        <v>1053</v>
      </c>
      <c r="C441" s="18" t="s">
        <v>194</v>
      </c>
      <c r="D441" s="18"/>
      <c r="E441" s="18" t="s">
        <v>1054</v>
      </c>
      <c r="F441" s="19" t="n">
        <v>45936</v>
      </c>
      <c r="G441" s="18" t="s">
        <v>196</v>
      </c>
      <c r="H441" s="18" t="s">
        <v>165</v>
      </c>
      <c r="I441" s="18" t="s">
        <v>165</v>
      </c>
      <c r="J441" s="18" t="s">
        <v>126</v>
      </c>
      <c r="K441" s="18"/>
      <c r="L441" s="18" t="s">
        <v>273</v>
      </c>
      <c r="M441" s="18"/>
      <c r="N441" s="18" t="s">
        <v>274</v>
      </c>
    </row>
    <row r="442" customFormat="false" ht="15" hidden="false" customHeight="false" outlineLevel="0" collapsed="false">
      <c r="A442" s="18" t="s">
        <v>764</v>
      </c>
      <c r="B442" s="18" t="s">
        <v>1055</v>
      </c>
      <c r="C442" s="18" t="s">
        <v>194</v>
      </c>
      <c r="D442" s="18"/>
      <c r="E442" s="18" t="s">
        <v>1056</v>
      </c>
      <c r="F442" s="19" t="n">
        <v>45936</v>
      </c>
      <c r="G442" s="18" t="s">
        <v>1057</v>
      </c>
      <c r="H442" s="18" t="s">
        <v>165</v>
      </c>
      <c r="I442" s="18" t="s">
        <v>126</v>
      </c>
      <c r="J442" s="18" t="s">
        <v>126</v>
      </c>
      <c r="K442" s="18"/>
      <c r="L442" s="18" t="s">
        <v>11</v>
      </c>
      <c r="M442" s="20" t="s">
        <v>12</v>
      </c>
      <c r="N442" s="18" t="s">
        <v>1058</v>
      </c>
    </row>
    <row r="443" customFormat="false" ht="15" hidden="false" customHeight="false" outlineLevel="0" collapsed="false">
      <c r="A443" s="18" t="s">
        <v>764</v>
      </c>
      <c r="B443" s="18" t="s">
        <v>1059</v>
      </c>
      <c r="C443" s="18" t="s">
        <v>194</v>
      </c>
      <c r="D443" s="18"/>
      <c r="E443" s="18" t="s">
        <v>1060</v>
      </c>
      <c r="F443" s="19" t="n">
        <v>45937</v>
      </c>
      <c r="G443" s="18" t="s">
        <v>125</v>
      </c>
      <c r="H443" s="18" t="s">
        <v>126</v>
      </c>
      <c r="I443" s="18" t="s">
        <v>126</v>
      </c>
      <c r="J443" s="18" t="s">
        <v>126</v>
      </c>
      <c r="K443" s="18"/>
      <c r="L443" s="18" t="s">
        <v>34</v>
      </c>
      <c r="M443" s="20" t="s">
        <v>12</v>
      </c>
      <c r="N443" s="18" t="s">
        <v>34</v>
      </c>
    </row>
    <row r="444" customFormat="false" ht="15" hidden="false" customHeight="false" outlineLevel="0" collapsed="false">
      <c r="A444" s="18" t="s">
        <v>764</v>
      </c>
      <c r="B444" s="18" t="s">
        <v>1061</v>
      </c>
      <c r="C444" s="18" t="s">
        <v>194</v>
      </c>
      <c r="D444" s="18"/>
      <c r="E444" s="18" t="s">
        <v>1062</v>
      </c>
      <c r="F444" s="19" t="n">
        <v>45937</v>
      </c>
      <c r="G444" s="18" t="s">
        <v>125</v>
      </c>
      <c r="H444" s="18" t="s">
        <v>126</v>
      </c>
      <c r="I444" s="18" t="s">
        <v>126</v>
      </c>
      <c r="J444" s="18" t="s">
        <v>126</v>
      </c>
      <c r="K444" s="18"/>
      <c r="L444" s="18" t="s">
        <v>11</v>
      </c>
      <c r="M444" s="20" t="s">
        <v>12</v>
      </c>
      <c r="N444" s="18" t="s">
        <v>147</v>
      </c>
    </row>
    <row r="445" customFormat="false" ht="15" hidden="false" customHeight="false" outlineLevel="0" collapsed="false">
      <c r="A445" s="18" t="s">
        <v>764</v>
      </c>
      <c r="B445" s="18" t="s">
        <v>1063</v>
      </c>
      <c r="C445" s="18" t="s">
        <v>194</v>
      </c>
      <c r="D445" s="18"/>
      <c r="E445" s="18" t="s">
        <v>1064</v>
      </c>
      <c r="F445" s="19" t="n">
        <v>45937</v>
      </c>
      <c r="G445" s="18" t="s">
        <v>125</v>
      </c>
      <c r="H445" s="18" t="s">
        <v>126</v>
      </c>
      <c r="I445" s="18" t="s">
        <v>126</v>
      </c>
      <c r="J445" s="18" t="s">
        <v>126</v>
      </c>
      <c r="K445" s="18"/>
      <c r="L445" s="18" t="s">
        <v>49</v>
      </c>
      <c r="M445" s="22" t="s">
        <v>50</v>
      </c>
      <c r="N445" s="18" t="s">
        <v>230</v>
      </c>
    </row>
    <row r="446" customFormat="false" ht="15" hidden="false" customHeight="false" outlineLevel="0" collapsed="false">
      <c r="A446" s="18" t="s">
        <v>764</v>
      </c>
      <c r="B446" s="18" t="s">
        <v>1065</v>
      </c>
      <c r="C446" s="18" t="s">
        <v>194</v>
      </c>
      <c r="D446" s="18"/>
      <c r="E446" s="18" t="s">
        <v>1066</v>
      </c>
      <c r="F446" s="19" t="n">
        <v>45938</v>
      </c>
      <c r="G446" s="18" t="s">
        <v>125</v>
      </c>
      <c r="H446" s="18" t="s">
        <v>126</v>
      </c>
      <c r="I446" s="18" t="s">
        <v>126</v>
      </c>
      <c r="J446" s="18" t="s">
        <v>126</v>
      </c>
      <c r="K446" s="18"/>
      <c r="L446" s="18" t="s">
        <v>26</v>
      </c>
      <c r="M446" s="20" t="s">
        <v>12</v>
      </c>
      <c r="N446" s="18" t="s">
        <v>135</v>
      </c>
    </row>
    <row r="447" customFormat="false" ht="15" hidden="false" customHeight="false" outlineLevel="0" collapsed="false">
      <c r="A447" s="18" t="s">
        <v>764</v>
      </c>
      <c r="B447" s="18" t="s">
        <v>1067</v>
      </c>
      <c r="C447" s="18" t="s">
        <v>194</v>
      </c>
      <c r="D447" s="18"/>
      <c r="E447" s="18" t="s">
        <v>1068</v>
      </c>
      <c r="F447" s="19" t="n">
        <v>45938</v>
      </c>
      <c r="G447" s="18" t="s">
        <v>125</v>
      </c>
      <c r="H447" s="18" t="s">
        <v>126</v>
      </c>
      <c r="I447" s="18" t="s">
        <v>126</v>
      </c>
      <c r="J447" s="18" t="s">
        <v>126</v>
      </c>
      <c r="K447" s="18"/>
      <c r="L447" s="18" t="s">
        <v>54</v>
      </c>
      <c r="M447" s="21" t="s">
        <v>15</v>
      </c>
      <c r="N447" s="18" t="s">
        <v>138</v>
      </c>
    </row>
    <row r="448" customFormat="false" ht="15" hidden="false" customHeight="false" outlineLevel="0" collapsed="false">
      <c r="A448" s="18" t="s">
        <v>764</v>
      </c>
      <c r="B448" s="18" t="s">
        <v>1069</v>
      </c>
      <c r="C448" s="18" t="s">
        <v>194</v>
      </c>
      <c r="D448" s="18"/>
      <c r="E448" s="18" t="s">
        <v>1070</v>
      </c>
      <c r="F448" s="19" t="n">
        <v>45938</v>
      </c>
      <c r="G448" s="18" t="s">
        <v>125</v>
      </c>
      <c r="H448" s="18" t="s">
        <v>126</v>
      </c>
      <c r="I448" s="18" t="s">
        <v>126</v>
      </c>
      <c r="J448" s="18" t="s">
        <v>126</v>
      </c>
      <c r="K448" s="18"/>
      <c r="L448" s="18" t="s">
        <v>54</v>
      </c>
      <c r="M448" s="22" t="s">
        <v>50</v>
      </c>
      <c r="N448" s="18" t="s">
        <v>278</v>
      </c>
    </row>
    <row r="449" customFormat="false" ht="15" hidden="false" customHeight="false" outlineLevel="0" collapsed="false">
      <c r="A449" s="18" t="s">
        <v>764</v>
      </c>
      <c r="B449" s="18" t="s">
        <v>1071</v>
      </c>
      <c r="C449" s="18" t="s">
        <v>194</v>
      </c>
      <c r="D449" s="18"/>
      <c r="E449" s="18" t="s">
        <v>1072</v>
      </c>
      <c r="F449" s="19" t="n">
        <v>45940</v>
      </c>
      <c r="G449" s="18" t="s">
        <v>125</v>
      </c>
      <c r="H449" s="18" t="s">
        <v>126</v>
      </c>
      <c r="I449" s="18" t="s">
        <v>126</v>
      </c>
      <c r="J449" s="18" t="s">
        <v>126</v>
      </c>
      <c r="K449" s="18"/>
      <c r="L449" s="18" t="s">
        <v>56</v>
      </c>
      <c r="M449" s="20" t="s">
        <v>12</v>
      </c>
      <c r="N449" s="18" t="s">
        <v>268</v>
      </c>
    </row>
    <row r="450" customFormat="false" ht="15" hidden="false" customHeight="false" outlineLevel="0" collapsed="false">
      <c r="A450" s="18" t="s">
        <v>764</v>
      </c>
      <c r="B450" s="18" t="s">
        <v>1073</v>
      </c>
      <c r="C450" s="18" t="s">
        <v>194</v>
      </c>
      <c r="D450" s="18"/>
      <c r="E450" s="18" t="s">
        <v>1074</v>
      </c>
      <c r="F450" s="19" t="n">
        <v>45940</v>
      </c>
      <c r="G450" s="18" t="s">
        <v>125</v>
      </c>
      <c r="H450" s="18" t="s">
        <v>126</v>
      </c>
      <c r="I450" s="18" t="s">
        <v>126</v>
      </c>
      <c r="J450" s="18" t="s">
        <v>126</v>
      </c>
      <c r="K450" s="18"/>
      <c r="L450" s="18" t="s">
        <v>56</v>
      </c>
      <c r="M450" s="20" t="s">
        <v>12</v>
      </c>
      <c r="N450" s="18" t="s">
        <v>268</v>
      </c>
    </row>
    <row r="451" customFormat="false" ht="15" hidden="false" customHeight="false" outlineLevel="0" collapsed="false">
      <c r="A451" s="18" t="s">
        <v>764</v>
      </c>
      <c r="B451" s="18" t="s">
        <v>1075</v>
      </c>
      <c r="C451" s="18" t="s">
        <v>194</v>
      </c>
      <c r="D451" s="18"/>
      <c r="E451" s="18" t="s">
        <v>1076</v>
      </c>
      <c r="F451" s="19" t="n">
        <v>45940</v>
      </c>
      <c r="G451" s="18" t="s">
        <v>125</v>
      </c>
      <c r="H451" s="18" t="s">
        <v>126</v>
      </c>
      <c r="I451" s="18" t="s">
        <v>126</v>
      </c>
      <c r="J451" s="18" t="s">
        <v>126</v>
      </c>
      <c r="K451" s="18"/>
      <c r="L451" s="18" t="s">
        <v>11</v>
      </c>
      <c r="M451" s="20" t="s">
        <v>12</v>
      </c>
      <c r="N451" s="18" t="s">
        <v>147</v>
      </c>
    </row>
    <row r="452" customFormat="false" ht="15" hidden="false" customHeight="false" outlineLevel="0" collapsed="false">
      <c r="A452" s="18" t="s">
        <v>764</v>
      </c>
      <c r="B452" s="18" t="s">
        <v>1077</v>
      </c>
      <c r="C452" s="18" t="s">
        <v>194</v>
      </c>
      <c r="D452" s="18"/>
      <c r="E452" s="18" t="s">
        <v>1078</v>
      </c>
      <c r="F452" s="19" t="n">
        <v>45940</v>
      </c>
      <c r="G452" s="18" t="s">
        <v>125</v>
      </c>
      <c r="H452" s="18" t="s">
        <v>126</v>
      </c>
      <c r="I452" s="18" t="s">
        <v>126</v>
      </c>
      <c r="J452" s="18" t="s">
        <v>126</v>
      </c>
      <c r="K452" s="18"/>
      <c r="L452" s="18" t="s">
        <v>26</v>
      </c>
      <c r="M452" s="20" t="s">
        <v>12</v>
      </c>
      <c r="N452" s="18" t="s">
        <v>135</v>
      </c>
    </row>
    <row r="453" customFormat="false" ht="15" hidden="false" customHeight="false" outlineLevel="0" collapsed="false">
      <c r="A453" s="18" t="s">
        <v>764</v>
      </c>
      <c r="B453" s="18" t="s">
        <v>1079</v>
      </c>
      <c r="C453" s="18" t="s">
        <v>194</v>
      </c>
      <c r="D453" s="18"/>
      <c r="E453" s="18" t="s">
        <v>1080</v>
      </c>
      <c r="F453" s="19" t="n">
        <v>45943</v>
      </c>
      <c r="G453" s="18" t="s">
        <v>125</v>
      </c>
      <c r="H453" s="18" t="s">
        <v>126</v>
      </c>
      <c r="I453" s="18" t="s">
        <v>126</v>
      </c>
      <c r="J453" s="18" t="s">
        <v>126</v>
      </c>
      <c r="K453" s="18"/>
      <c r="L453" s="18" t="s">
        <v>171</v>
      </c>
      <c r="M453" s="18"/>
      <c r="N453" s="18" t="s">
        <v>172</v>
      </c>
    </row>
    <row r="454" customFormat="false" ht="15" hidden="false" customHeight="false" outlineLevel="0" collapsed="false">
      <c r="A454" s="18" t="s">
        <v>764</v>
      </c>
      <c r="B454" s="18" t="s">
        <v>1081</v>
      </c>
      <c r="C454" s="18" t="s">
        <v>194</v>
      </c>
      <c r="D454" s="18"/>
      <c r="E454" s="18" t="s">
        <v>1082</v>
      </c>
      <c r="F454" s="19" t="n">
        <v>45943</v>
      </c>
      <c r="G454" s="18" t="s">
        <v>125</v>
      </c>
      <c r="H454" s="18" t="s">
        <v>126</v>
      </c>
      <c r="I454" s="18" t="s">
        <v>126</v>
      </c>
      <c r="J454" s="18" t="s">
        <v>126</v>
      </c>
      <c r="K454" s="18"/>
      <c r="L454" s="18" t="s">
        <v>11</v>
      </c>
      <c r="M454" s="20" t="s">
        <v>12</v>
      </c>
      <c r="N454" s="18" t="s">
        <v>147</v>
      </c>
    </row>
    <row r="455" customFormat="false" ht="15" hidden="false" customHeight="false" outlineLevel="0" collapsed="false">
      <c r="A455" s="18" t="s">
        <v>764</v>
      </c>
      <c r="B455" s="18" t="s">
        <v>1083</v>
      </c>
      <c r="C455" s="18" t="s">
        <v>194</v>
      </c>
      <c r="D455" s="18"/>
      <c r="E455" s="18" t="s">
        <v>1084</v>
      </c>
      <c r="F455" s="19" t="n">
        <v>45945</v>
      </c>
      <c r="G455" s="18" t="s">
        <v>125</v>
      </c>
      <c r="H455" s="18" t="s">
        <v>126</v>
      </c>
      <c r="I455" s="18" t="s">
        <v>126</v>
      </c>
      <c r="J455" s="18" t="s">
        <v>126</v>
      </c>
      <c r="K455" s="18"/>
      <c r="L455" s="18" t="s">
        <v>171</v>
      </c>
      <c r="M455" s="18"/>
      <c r="N455" s="18" t="s">
        <v>172</v>
      </c>
    </row>
    <row r="456" customFormat="false" ht="15" hidden="false" customHeight="false" outlineLevel="0" collapsed="false">
      <c r="A456" s="18" t="s">
        <v>764</v>
      </c>
      <c r="B456" s="18" t="s">
        <v>1085</v>
      </c>
      <c r="C456" s="18" t="s">
        <v>194</v>
      </c>
      <c r="D456" s="18"/>
      <c r="E456" s="18" t="s">
        <v>1086</v>
      </c>
      <c r="F456" s="19" t="n">
        <v>45950</v>
      </c>
      <c r="G456" s="18" t="s">
        <v>125</v>
      </c>
      <c r="H456" s="18" t="s">
        <v>126</v>
      </c>
      <c r="I456" s="18" t="s">
        <v>126</v>
      </c>
      <c r="J456" s="18" t="s">
        <v>126</v>
      </c>
      <c r="K456" s="18"/>
      <c r="L456" s="18" t="s">
        <v>52</v>
      </c>
      <c r="M456" s="21" t="s">
        <v>15</v>
      </c>
      <c r="N456" s="18" t="s">
        <v>241</v>
      </c>
    </row>
    <row r="457" customFormat="false" ht="15" hidden="false" customHeight="false" outlineLevel="0" collapsed="false">
      <c r="A457" s="18" t="s">
        <v>764</v>
      </c>
      <c r="B457" s="18" t="s">
        <v>1087</v>
      </c>
      <c r="C457" s="18" t="s">
        <v>194</v>
      </c>
      <c r="D457" s="18"/>
      <c r="E457" s="18" t="s">
        <v>1088</v>
      </c>
      <c r="F457" s="19" t="n">
        <v>45951</v>
      </c>
      <c r="G457" s="18" t="s">
        <v>125</v>
      </c>
      <c r="H457" s="18" t="s">
        <v>126</v>
      </c>
      <c r="I457" s="18" t="s">
        <v>126</v>
      </c>
      <c r="J457" s="18" t="s">
        <v>126</v>
      </c>
      <c r="K457" s="18"/>
      <c r="L457" s="18" t="s">
        <v>49</v>
      </c>
      <c r="M457" s="22" t="s">
        <v>50</v>
      </c>
      <c r="N457" s="18" t="s">
        <v>230</v>
      </c>
    </row>
    <row r="458" customFormat="false" ht="15" hidden="false" customHeight="false" outlineLevel="0" collapsed="false">
      <c r="A458" s="18" t="s">
        <v>764</v>
      </c>
      <c r="B458" s="18" t="s">
        <v>1089</v>
      </c>
      <c r="C458" s="18" t="s">
        <v>194</v>
      </c>
      <c r="D458" s="18"/>
      <c r="E458" s="18" t="s">
        <v>1090</v>
      </c>
      <c r="F458" s="19" t="n">
        <v>45951</v>
      </c>
      <c r="G458" s="18" t="s">
        <v>196</v>
      </c>
      <c r="H458" s="18" t="s">
        <v>165</v>
      </c>
      <c r="I458" s="18" t="s">
        <v>165</v>
      </c>
      <c r="J458" s="18" t="s">
        <v>126</v>
      </c>
      <c r="K458" s="18"/>
      <c r="L458" s="18" t="s">
        <v>89</v>
      </c>
      <c r="M458" s="20" t="s">
        <v>12</v>
      </c>
      <c r="N458" s="18" t="s">
        <v>197</v>
      </c>
    </row>
    <row r="459" customFormat="false" ht="15" hidden="false" customHeight="false" outlineLevel="0" collapsed="false">
      <c r="A459" s="18" t="s">
        <v>764</v>
      </c>
      <c r="B459" s="18" t="s">
        <v>1091</v>
      </c>
      <c r="C459" s="18" t="s">
        <v>194</v>
      </c>
      <c r="D459" s="18"/>
      <c r="E459" s="18" t="s">
        <v>1092</v>
      </c>
      <c r="F459" s="19" t="n">
        <v>45951</v>
      </c>
      <c r="G459" s="18" t="s">
        <v>196</v>
      </c>
      <c r="H459" s="18" t="s">
        <v>165</v>
      </c>
      <c r="I459" s="18" t="s">
        <v>165</v>
      </c>
      <c r="J459" s="18" t="s">
        <v>126</v>
      </c>
      <c r="K459" s="18"/>
      <c r="L459" s="18" t="s">
        <v>171</v>
      </c>
      <c r="M459" s="18"/>
      <c r="N459" s="18" t="s">
        <v>367</v>
      </c>
    </row>
    <row r="460" customFormat="false" ht="15" hidden="false" customHeight="false" outlineLevel="0" collapsed="false">
      <c r="A460" s="18" t="s">
        <v>764</v>
      </c>
      <c r="B460" s="18" t="s">
        <v>1093</v>
      </c>
      <c r="C460" s="18" t="s">
        <v>194</v>
      </c>
      <c r="D460" s="18"/>
      <c r="E460" s="18" t="s">
        <v>1094</v>
      </c>
      <c r="F460" s="19" t="n">
        <v>45952</v>
      </c>
      <c r="G460" s="18" t="s">
        <v>125</v>
      </c>
      <c r="H460" s="18" t="s">
        <v>126</v>
      </c>
      <c r="I460" s="18" t="s">
        <v>126</v>
      </c>
      <c r="J460" s="18" t="s">
        <v>126</v>
      </c>
      <c r="K460" s="18"/>
      <c r="L460" s="18" t="s">
        <v>171</v>
      </c>
      <c r="M460" s="18"/>
      <c r="N460" s="18" t="s">
        <v>172</v>
      </c>
    </row>
    <row r="461" customFormat="false" ht="15" hidden="false" customHeight="false" outlineLevel="0" collapsed="false">
      <c r="A461" s="18" t="s">
        <v>764</v>
      </c>
      <c r="B461" s="18" t="s">
        <v>1095</v>
      </c>
      <c r="C461" s="18" t="s">
        <v>194</v>
      </c>
      <c r="D461" s="18"/>
      <c r="E461" s="18" t="s">
        <v>1096</v>
      </c>
      <c r="F461" s="19" t="n">
        <v>45957</v>
      </c>
      <c r="G461" s="18" t="s">
        <v>125</v>
      </c>
      <c r="H461" s="18" t="s">
        <v>126</v>
      </c>
      <c r="I461" s="18" t="s">
        <v>126</v>
      </c>
      <c r="J461" s="18" t="s">
        <v>126</v>
      </c>
      <c r="K461" s="18"/>
      <c r="L461" s="18" t="s">
        <v>52</v>
      </c>
      <c r="M461" s="21" t="s">
        <v>15</v>
      </c>
      <c r="N461" s="18" t="s">
        <v>241</v>
      </c>
    </row>
    <row r="462" customFormat="false" ht="15" hidden="false" customHeight="false" outlineLevel="0" collapsed="false">
      <c r="A462" s="18" t="s">
        <v>764</v>
      </c>
      <c r="B462" s="18" t="s">
        <v>1097</v>
      </c>
      <c r="C462" s="18" t="s">
        <v>194</v>
      </c>
      <c r="D462" s="18"/>
      <c r="E462" s="18" t="s">
        <v>1098</v>
      </c>
      <c r="F462" s="19" t="n">
        <v>45958</v>
      </c>
      <c r="G462" s="18" t="s">
        <v>125</v>
      </c>
      <c r="H462" s="18" t="s">
        <v>126</v>
      </c>
      <c r="I462" s="18" t="s">
        <v>126</v>
      </c>
      <c r="J462" s="18" t="s">
        <v>126</v>
      </c>
      <c r="K462" s="18"/>
      <c r="L462" s="18" t="s">
        <v>210</v>
      </c>
      <c r="M462" s="18"/>
      <c r="N462" s="18" t="s">
        <v>211</v>
      </c>
    </row>
    <row r="463" customFormat="false" ht="15" hidden="false" customHeight="false" outlineLevel="0" collapsed="false">
      <c r="A463" s="18" t="s">
        <v>764</v>
      </c>
      <c r="B463" s="18" t="s">
        <v>1099</v>
      </c>
      <c r="C463" s="18" t="s">
        <v>194</v>
      </c>
      <c r="D463" s="18"/>
      <c r="E463" s="18" t="s">
        <v>1100</v>
      </c>
      <c r="F463" s="19" t="n">
        <v>45958</v>
      </c>
      <c r="G463" s="18" t="s">
        <v>125</v>
      </c>
      <c r="H463" s="18" t="s">
        <v>126</v>
      </c>
      <c r="I463" s="18" t="s">
        <v>126</v>
      </c>
      <c r="J463" s="18" t="s">
        <v>126</v>
      </c>
      <c r="K463" s="18"/>
      <c r="L463" s="18" t="s">
        <v>54</v>
      </c>
      <c r="M463" s="21" t="s">
        <v>15</v>
      </c>
      <c r="N463" s="18" t="s">
        <v>138</v>
      </c>
    </row>
    <row r="464" customFormat="false" ht="15" hidden="false" customHeight="false" outlineLevel="0" collapsed="false">
      <c r="A464" s="18" t="s">
        <v>764</v>
      </c>
      <c r="B464" s="18" t="s">
        <v>1101</v>
      </c>
      <c r="C464" s="18" t="s">
        <v>194</v>
      </c>
      <c r="D464" s="18"/>
      <c r="E464" s="18" t="s">
        <v>1102</v>
      </c>
      <c r="F464" s="19" t="n">
        <v>45958</v>
      </c>
      <c r="G464" s="18" t="s">
        <v>125</v>
      </c>
      <c r="H464" s="18" t="s">
        <v>126</v>
      </c>
      <c r="I464" s="18" t="s">
        <v>126</v>
      </c>
      <c r="J464" s="18" t="s">
        <v>126</v>
      </c>
      <c r="K464" s="18"/>
      <c r="L464" s="18" t="s">
        <v>72</v>
      </c>
      <c r="M464" s="20" t="s">
        <v>12</v>
      </c>
      <c r="N464" s="18" t="s">
        <v>150</v>
      </c>
    </row>
    <row r="465" customFormat="false" ht="15" hidden="false" customHeight="false" outlineLevel="0" collapsed="false">
      <c r="A465" s="18" t="s">
        <v>764</v>
      </c>
      <c r="B465" s="18" t="s">
        <v>1103</v>
      </c>
      <c r="C465" s="18" t="s">
        <v>194</v>
      </c>
      <c r="D465" s="18"/>
      <c r="E465" s="18" t="s">
        <v>1104</v>
      </c>
      <c r="F465" s="19" t="n">
        <v>45959</v>
      </c>
      <c r="G465" s="18" t="s">
        <v>125</v>
      </c>
      <c r="H465" s="18" t="s">
        <v>126</v>
      </c>
      <c r="I465" s="18" t="s">
        <v>126</v>
      </c>
      <c r="J465" s="18" t="s">
        <v>126</v>
      </c>
      <c r="K465" s="18"/>
      <c r="L465" s="18" t="s">
        <v>52</v>
      </c>
      <c r="M465" s="22" t="s">
        <v>50</v>
      </c>
      <c r="N465" s="18" t="s">
        <v>178</v>
      </c>
    </row>
    <row r="466" customFormat="false" ht="15" hidden="false" customHeight="false" outlineLevel="0" collapsed="false">
      <c r="A466" s="18" t="s">
        <v>764</v>
      </c>
      <c r="B466" s="18" t="s">
        <v>1105</v>
      </c>
      <c r="C466" s="18" t="s">
        <v>194</v>
      </c>
      <c r="D466" s="18"/>
      <c r="E466" s="18" t="s">
        <v>1106</v>
      </c>
      <c r="F466" s="19" t="n">
        <v>45959</v>
      </c>
      <c r="G466" s="18" t="s">
        <v>125</v>
      </c>
      <c r="H466" s="18" t="s">
        <v>126</v>
      </c>
      <c r="I466" s="18" t="s">
        <v>126</v>
      </c>
      <c r="J466" s="18" t="s">
        <v>126</v>
      </c>
      <c r="K466" s="18"/>
      <c r="L466" s="18" t="s">
        <v>171</v>
      </c>
      <c r="M466" s="18"/>
      <c r="N466" s="18" t="s">
        <v>172</v>
      </c>
    </row>
    <row r="467" customFormat="false" ht="15" hidden="false" customHeight="false" outlineLevel="0" collapsed="false">
      <c r="A467" s="18" t="s">
        <v>764</v>
      </c>
      <c r="B467" s="18" t="s">
        <v>1107</v>
      </c>
      <c r="C467" s="18" t="s">
        <v>194</v>
      </c>
      <c r="D467" s="18"/>
      <c r="E467" s="18" t="s">
        <v>1108</v>
      </c>
      <c r="F467" s="19" t="n">
        <v>45961</v>
      </c>
      <c r="G467" s="18" t="s">
        <v>125</v>
      </c>
      <c r="H467" s="18" t="s">
        <v>126</v>
      </c>
      <c r="I467" s="18" t="s">
        <v>126</v>
      </c>
      <c r="J467" s="18" t="s">
        <v>126</v>
      </c>
      <c r="K467" s="18"/>
      <c r="L467" s="18" t="s">
        <v>59</v>
      </c>
      <c r="M467" s="22" t="s">
        <v>50</v>
      </c>
      <c r="N467" s="18" t="s">
        <v>141</v>
      </c>
    </row>
    <row r="468" customFormat="false" ht="15" hidden="false" customHeight="false" outlineLevel="0" collapsed="false">
      <c r="A468" s="18" t="s">
        <v>764</v>
      </c>
      <c r="B468" s="18" t="s">
        <v>1109</v>
      </c>
      <c r="C468" s="18" t="s">
        <v>194</v>
      </c>
      <c r="D468" s="18"/>
      <c r="E468" s="18" t="s">
        <v>1110</v>
      </c>
      <c r="F468" s="19" t="n">
        <v>45961</v>
      </c>
      <c r="G468" s="18" t="s">
        <v>125</v>
      </c>
      <c r="H468" s="18" t="s">
        <v>126</v>
      </c>
      <c r="I468" s="18" t="s">
        <v>126</v>
      </c>
      <c r="J468" s="18" t="s">
        <v>126</v>
      </c>
      <c r="K468" s="18"/>
      <c r="L468" s="18" t="s">
        <v>52</v>
      </c>
      <c r="M468" s="22" t="s">
        <v>50</v>
      </c>
      <c r="N468" s="18" t="s">
        <v>178</v>
      </c>
    </row>
    <row r="469" customFormat="false" ht="15" hidden="false" customHeight="false" outlineLevel="0" collapsed="false">
      <c r="A469" s="18" t="s">
        <v>764</v>
      </c>
      <c r="B469" s="18" t="s">
        <v>1111</v>
      </c>
      <c r="C469" s="18" t="s">
        <v>194</v>
      </c>
      <c r="D469" s="18"/>
      <c r="E469" s="18" t="s">
        <v>1112</v>
      </c>
      <c r="F469" s="19" t="n">
        <v>45961</v>
      </c>
      <c r="G469" s="18" t="s">
        <v>125</v>
      </c>
      <c r="H469" s="18" t="s">
        <v>126</v>
      </c>
      <c r="I469" s="18" t="s">
        <v>126</v>
      </c>
      <c r="J469" s="18" t="s">
        <v>126</v>
      </c>
      <c r="K469" s="18"/>
      <c r="L469" s="18" t="s">
        <v>26</v>
      </c>
      <c r="M469" s="20" t="s">
        <v>12</v>
      </c>
      <c r="N469" s="18" t="s">
        <v>135</v>
      </c>
    </row>
    <row r="470" customFormat="false" ht="15" hidden="false" customHeight="false" outlineLevel="0" collapsed="false">
      <c r="A470" s="18" t="s">
        <v>764</v>
      </c>
      <c r="B470" s="18" t="s">
        <v>1113</v>
      </c>
      <c r="C470" s="18" t="s">
        <v>194</v>
      </c>
      <c r="D470" s="18"/>
      <c r="E470" s="18" t="s">
        <v>1114</v>
      </c>
      <c r="F470" s="19" t="n">
        <v>45964</v>
      </c>
      <c r="G470" s="18" t="s">
        <v>125</v>
      </c>
      <c r="H470" s="18" t="s">
        <v>126</v>
      </c>
      <c r="I470" s="18" t="s">
        <v>126</v>
      </c>
      <c r="J470" s="18" t="s">
        <v>126</v>
      </c>
      <c r="K470" s="18"/>
      <c r="L470" s="18" t="s">
        <v>42</v>
      </c>
      <c r="M470" s="22" t="s">
        <v>50</v>
      </c>
      <c r="N470" s="18" t="s">
        <v>305</v>
      </c>
    </row>
    <row r="471" customFormat="false" ht="15" hidden="false" customHeight="false" outlineLevel="0" collapsed="false">
      <c r="A471" s="18" t="s">
        <v>764</v>
      </c>
      <c r="B471" s="18" t="s">
        <v>1115</v>
      </c>
      <c r="C471" s="18" t="s">
        <v>194</v>
      </c>
      <c r="D471" s="18"/>
      <c r="E471" s="18" t="s">
        <v>1116</v>
      </c>
      <c r="F471" s="19" t="n">
        <v>45966</v>
      </c>
      <c r="G471" s="18" t="s">
        <v>125</v>
      </c>
      <c r="H471" s="18" t="s">
        <v>126</v>
      </c>
      <c r="I471" s="18" t="s">
        <v>126</v>
      </c>
      <c r="J471" s="18" t="s">
        <v>126</v>
      </c>
      <c r="K471" s="18"/>
      <c r="L471" s="18" t="s">
        <v>171</v>
      </c>
      <c r="M471" s="18"/>
      <c r="N471" s="18" t="s">
        <v>172</v>
      </c>
    </row>
    <row r="472" customFormat="false" ht="15" hidden="false" customHeight="false" outlineLevel="0" collapsed="false">
      <c r="A472" s="18" t="s">
        <v>764</v>
      </c>
      <c r="B472" s="18" t="s">
        <v>1117</v>
      </c>
      <c r="C472" s="18" t="s">
        <v>194</v>
      </c>
      <c r="D472" s="18"/>
      <c r="E472" s="18" t="s">
        <v>1118</v>
      </c>
      <c r="F472" s="19" t="n">
        <v>45967</v>
      </c>
      <c r="G472" s="18" t="s">
        <v>125</v>
      </c>
      <c r="H472" s="18" t="s">
        <v>126</v>
      </c>
      <c r="I472" s="18" t="s">
        <v>126</v>
      </c>
      <c r="J472" s="18" t="s">
        <v>126</v>
      </c>
      <c r="K472" s="18"/>
      <c r="L472" s="18" t="s">
        <v>72</v>
      </c>
      <c r="M472" s="20" t="s">
        <v>12</v>
      </c>
      <c r="N472" s="18" t="s">
        <v>150</v>
      </c>
    </row>
    <row r="473" customFormat="false" ht="15" hidden="false" customHeight="false" outlineLevel="0" collapsed="false">
      <c r="A473" s="18" t="s">
        <v>764</v>
      </c>
      <c r="B473" s="18" t="s">
        <v>1119</v>
      </c>
      <c r="C473" s="18" t="s">
        <v>194</v>
      </c>
      <c r="D473" s="18"/>
      <c r="E473" s="18" t="s">
        <v>1120</v>
      </c>
      <c r="F473" s="19" t="n">
        <v>45967</v>
      </c>
      <c r="G473" s="18" t="s">
        <v>196</v>
      </c>
      <c r="H473" s="18" t="s">
        <v>165</v>
      </c>
      <c r="I473" s="18" t="s">
        <v>165</v>
      </c>
      <c r="J473" s="18" t="s">
        <v>126</v>
      </c>
      <c r="K473" s="18"/>
      <c r="L473" s="18" t="s">
        <v>171</v>
      </c>
      <c r="M473" s="18"/>
      <c r="N473" s="18" t="s">
        <v>367</v>
      </c>
    </row>
    <row r="474" customFormat="false" ht="15" hidden="false" customHeight="false" outlineLevel="0" collapsed="false">
      <c r="A474" s="18" t="s">
        <v>764</v>
      </c>
      <c r="B474" s="18" t="s">
        <v>1121</v>
      </c>
      <c r="C474" s="18" t="s">
        <v>194</v>
      </c>
      <c r="D474" s="18"/>
      <c r="E474" s="18" t="s">
        <v>1122</v>
      </c>
      <c r="F474" s="19" t="n">
        <v>45968</v>
      </c>
      <c r="G474" s="18" t="s">
        <v>125</v>
      </c>
      <c r="H474" s="18" t="s">
        <v>126</v>
      </c>
      <c r="I474" s="18" t="s">
        <v>126</v>
      </c>
      <c r="J474" s="18" t="s">
        <v>126</v>
      </c>
      <c r="K474" s="18"/>
      <c r="L474" s="18" t="s">
        <v>26</v>
      </c>
      <c r="M474" s="20" t="s">
        <v>12</v>
      </c>
      <c r="N474" s="18" t="s">
        <v>135</v>
      </c>
    </row>
    <row r="475" customFormat="false" ht="15" hidden="false" customHeight="false" outlineLevel="0" collapsed="false">
      <c r="A475" s="18" t="s">
        <v>764</v>
      </c>
      <c r="B475" s="18" t="s">
        <v>1123</v>
      </c>
      <c r="C475" s="18" t="s">
        <v>194</v>
      </c>
      <c r="D475" s="18"/>
      <c r="E475" s="18" t="s">
        <v>1124</v>
      </c>
      <c r="F475" s="19" t="n">
        <v>45971</v>
      </c>
      <c r="G475" s="18" t="s">
        <v>826</v>
      </c>
      <c r="H475" s="18" t="s">
        <v>165</v>
      </c>
      <c r="I475" s="18" t="s">
        <v>126</v>
      </c>
      <c r="J475" s="18" t="s">
        <v>126</v>
      </c>
      <c r="K475" s="18"/>
      <c r="L475" s="18" t="s">
        <v>61</v>
      </c>
      <c r="M475" s="21" t="s">
        <v>15</v>
      </c>
      <c r="N475" s="18" t="s">
        <v>509</v>
      </c>
    </row>
    <row r="476" customFormat="false" ht="15" hidden="false" customHeight="false" outlineLevel="0" collapsed="false">
      <c r="A476" s="18" t="s">
        <v>764</v>
      </c>
      <c r="B476" s="18" t="s">
        <v>1125</v>
      </c>
      <c r="C476" s="18" t="s">
        <v>194</v>
      </c>
      <c r="D476" s="18"/>
      <c r="E476" s="18" t="s">
        <v>1126</v>
      </c>
      <c r="F476" s="19" t="n">
        <v>45971</v>
      </c>
      <c r="G476" s="18" t="s">
        <v>125</v>
      </c>
      <c r="H476" s="18" t="s">
        <v>126</v>
      </c>
      <c r="I476" s="18" t="s">
        <v>126</v>
      </c>
      <c r="J476" s="18" t="s">
        <v>126</v>
      </c>
      <c r="K476" s="18"/>
      <c r="L476" s="18" t="s">
        <v>11</v>
      </c>
      <c r="M476" s="20" t="s">
        <v>12</v>
      </c>
      <c r="N476" s="18" t="s">
        <v>147</v>
      </c>
    </row>
    <row r="477" customFormat="false" ht="15" hidden="false" customHeight="false" outlineLevel="0" collapsed="false">
      <c r="A477" s="18" t="s">
        <v>764</v>
      </c>
      <c r="B477" s="18" t="s">
        <v>1127</v>
      </c>
      <c r="C477" s="18" t="s">
        <v>194</v>
      </c>
      <c r="D477" s="18"/>
      <c r="E477" s="18" t="s">
        <v>1128</v>
      </c>
      <c r="F477" s="19" t="n">
        <v>45972</v>
      </c>
      <c r="G477" s="18" t="s">
        <v>125</v>
      </c>
      <c r="H477" s="18" t="s">
        <v>126</v>
      </c>
      <c r="I477" s="18" t="s">
        <v>126</v>
      </c>
      <c r="J477" s="18" t="s">
        <v>126</v>
      </c>
      <c r="K477" s="18"/>
      <c r="L477" s="18" t="s">
        <v>72</v>
      </c>
      <c r="M477" s="20" t="s">
        <v>12</v>
      </c>
      <c r="N477" s="18" t="s">
        <v>150</v>
      </c>
    </row>
    <row r="478" customFormat="false" ht="15" hidden="false" customHeight="false" outlineLevel="0" collapsed="false">
      <c r="A478" s="18" t="s">
        <v>764</v>
      </c>
      <c r="B478" s="18" t="s">
        <v>1129</v>
      </c>
      <c r="C478" s="18" t="s">
        <v>194</v>
      </c>
      <c r="D478" s="18"/>
      <c r="E478" s="18" t="s">
        <v>1130</v>
      </c>
      <c r="F478" s="19" t="n">
        <v>45972</v>
      </c>
      <c r="G478" s="18" t="s">
        <v>203</v>
      </c>
      <c r="H478" s="18" t="s">
        <v>165</v>
      </c>
      <c r="I478" s="18" t="s">
        <v>126</v>
      </c>
      <c r="J478" s="18" t="s">
        <v>126</v>
      </c>
      <c r="K478" s="18"/>
      <c r="L478" s="18" t="s">
        <v>204</v>
      </c>
      <c r="M478" s="18"/>
      <c r="N478" s="18" t="s">
        <v>606</v>
      </c>
    </row>
    <row r="479" customFormat="false" ht="15" hidden="false" customHeight="false" outlineLevel="0" collapsed="false">
      <c r="A479" s="18" t="s">
        <v>764</v>
      </c>
      <c r="B479" s="18" t="s">
        <v>1131</v>
      </c>
      <c r="C479" s="18" t="s">
        <v>194</v>
      </c>
      <c r="D479" s="18"/>
      <c r="E479" s="18" t="s">
        <v>1132</v>
      </c>
      <c r="F479" s="19" t="n">
        <v>45972</v>
      </c>
      <c r="G479" s="18" t="s">
        <v>196</v>
      </c>
      <c r="H479" s="18" t="s">
        <v>165</v>
      </c>
      <c r="I479" s="18" t="s">
        <v>165</v>
      </c>
      <c r="J479" s="18" t="s">
        <v>126</v>
      </c>
      <c r="K479" s="18"/>
      <c r="L479" s="18" t="s">
        <v>26</v>
      </c>
      <c r="M479" s="20" t="s">
        <v>12</v>
      </c>
      <c r="N479" s="18" t="s">
        <v>135</v>
      </c>
    </row>
    <row r="480" customFormat="false" ht="15" hidden="false" customHeight="false" outlineLevel="0" collapsed="false">
      <c r="A480" s="18" t="s">
        <v>764</v>
      </c>
      <c r="B480" s="18" t="s">
        <v>1133</v>
      </c>
      <c r="C480" s="18" t="s">
        <v>194</v>
      </c>
      <c r="D480" s="18"/>
      <c r="E480" s="18" t="s">
        <v>1134</v>
      </c>
      <c r="F480" s="19" t="n">
        <v>45973</v>
      </c>
      <c r="G480" s="18" t="s">
        <v>196</v>
      </c>
      <c r="H480" s="18" t="s">
        <v>165</v>
      </c>
      <c r="I480" s="18" t="s">
        <v>165</v>
      </c>
      <c r="J480" s="18" t="s">
        <v>126</v>
      </c>
      <c r="K480" s="18"/>
      <c r="L480" s="18" t="s">
        <v>28</v>
      </c>
      <c r="M480" s="20" t="s">
        <v>12</v>
      </c>
      <c r="N480" s="18" t="s">
        <v>127</v>
      </c>
    </row>
    <row r="481" customFormat="false" ht="15" hidden="false" customHeight="false" outlineLevel="0" collapsed="false">
      <c r="A481" s="18" t="s">
        <v>764</v>
      </c>
      <c r="B481" s="18" t="s">
        <v>1135</v>
      </c>
      <c r="C481" s="18" t="s">
        <v>194</v>
      </c>
      <c r="D481" s="18"/>
      <c r="E481" s="18" t="s">
        <v>1136</v>
      </c>
      <c r="F481" s="19" t="n">
        <v>45973</v>
      </c>
      <c r="G481" s="18" t="s">
        <v>125</v>
      </c>
      <c r="H481" s="18" t="s">
        <v>126</v>
      </c>
      <c r="I481" s="18" t="s">
        <v>126</v>
      </c>
      <c r="J481" s="18" t="s">
        <v>126</v>
      </c>
      <c r="K481" s="18"/>
      <c r="L481" s="18" t="s">
        <v>61</v>
      </c>
      <c r="M481" s="21" t="s">
        <v>15</v>
      </c>
      <c r="N481" s="18" t="s">
        <v>509</v>
      </c>
    </row>
    <row r="482" customFormat="false" ht="15" hidden="false" customHeight="false" outlineLevel="0" collapsed="false">
      <c r="A482" s="18" t="s">
        <v>764</v>
      </c>
      <c r="B482" s="18" t="s">
        <v>1137</v>
      </c>
      <c r="C482" s="18" t="s">
        <v>194</v>
      </c>
      <c r="D482" s="18"/>
      <c r="E482" s="18" t="s">
        <v>1138</v>
      </c>
      <c r="F482" s="19" t="n">
        <v>45974</v>
      </c>
      <c r="G482" s="18" t="s">
        <v>125</v>
      </c>
      <c r="H482" s="18" t="s">
        <v>126</v>
      </c>
      <c r="I482" s="18" t="s">
        <v>126</v>
      </c>
      <c r="J482" s="18" t="s">
        <v>126</v>
      </c>
      <c r="K482" s="18"/>
      <c r="L482" s="18" t="s">
        <v>204</v>
      </c>
      <c r="M482" s="18"/>
      <c r="N482" s="18" t="s">
        <v>220</v>
      </c>
    </row>
    <row r="483" customFormat="false" ht="15" hidden="false" customHeight="false" outlineLevel="0" collapsed="false">
      <c r="A483" s="18" t="s">
        <v>764</v>
      </c>
      <c r="B483" s="18" t="s">
        <v>1139</v>
      </c>
      <c r="C483" s="18" t="s">
        <v>194</v>
      </c>
      <c r="D483" s="18"/>
      <c r="E483" s="18" t="s">
        <v>1140</v>
      </c>
      <c r="F483" s="19" t="n">
        <v>45974</v>
      </c>
      <c r="G483" s="18" t="s">
        <v>125</v>
      </c>
      <c r="H483" s="18" t="s">
        <v>126</v>
      </c>
      <c r="I483" s="18" t="s">
        <v>126</v>
      </c>
      <c r="J483" s="18" t="s">
        <v>126</v>
      </c>
      <c r="K483" s="18"/>
      <c r="L483" s="18" t="s">
        <v>171</v>
      </c>
      <c r="M483" s="18"/>
      <c r="N483" s="18" t="s">
        <v>172</v>
      </c>
    </row>
    <row r="484" customFormat="false" ht="15" hidden="false" customHeight="false" outlineLevel="0" collapsed="false">
      <c r="A484" s="18" t="s">
        <v>764</v>
      </c>
      <c r="B484" s="18" t="s">
        <v>1141</v>
      </c>
      <c r="C484" s="18" t="s">
        <v>194</v>
      </c>
      <c r="D484" s="18"/>
      <c r="E484" s="18" t="s">
        <v>1142</v>
      </c>
      <c r="F484" s="19" t="n">
        <v>45974</v>
      </c>
      <c r="G484" s="18" t="s">
        <v>125</v>
      </c>
      <c r="H484" s="18" t="s">
        <v>126</v>
      </c>
      <c r="I484" s="18" t="s">
        <v>126</v>
      </c>
      <c r="J484" s="18" t="s">
        <v>126</v>
      </c>
      <c r="K484" s="18"/>
      <c r="L484" s="18" t="s">
        <v>171</v>
      </c>
      <c r="M484" s="18"/>
      <c r="N484" s="18" t="s">
        <v>172</v>
      </c>
    </row>
    <row r="485" customFormat="false" ht="15" hidden="false" customHeight="false" outlineLevel="0" collapsed="false">
      <c r="A485" s="18" t="s">
        <v>764</v>
      </c>
      <c r="B485" s="18" t="s">
        <v>1143</v>
      </c>
      <c r="C485" s="18" t="s">
        <v>194</v>
      </c>
      <c r="D485" s="18"/>
      <c r="E485" s="18" t="s">
        <v>1144</v>
      </c>
      <c r="F485" s="19" t="n">
        <v>45978</v>
      </c>
      <c r="G485" s="18" t="s">
        <v>125</v>
      </c>
      <c r="H485" s="18" t="s">
        <v>126</v>
      </c>
      <c r="I485" s="18" t="s">
        <v>126</v>
      </c>
      <c r="J485" s="18" t="s">
        <v>126</v>
      </c>
      <c r="K485" s="18"/>
      <c r="L485" s="18" t="s">
        <v>72</v>
      </c>
      <c r="M485" s="20" t="s">
        <v>12</v>
      </c>
      <c r="N485" s="18" t="s">
        <v>150</v>
      </c>
    </row>
    <row r="486" customFormat="false" ht="15" hidden="false" customHeight="false" outlineLevel="0" collapsed="false">
      <c r="A486" s="18" t="s">
        <v>764</v>
      </c>
      <c r="B486" s="18" t="s">
        <v>1145</v>
      </c>
      <c r="C486" s="18" t="s">
        <v>194</v>
      </c>
      <c r="D486" s="18"/>
      <c r="E486" s="18" t="s">
        <v>1146</v>
      </c>
      <c r="F486" s="19" t="n">
        <v>45979</v>
      </c>
      <c r="G486" s="18" t="s">
        <v>125</v>
      </c>
      <c r="H486" s="18" t="s">
        <v>126</v>
      </c>
      <c r="I486" s="18" t="s">
        <v>126</v>
      </c>
      <c r="J486" s="18" t="s">
        <v>126</v>
      </c>
      <c r="K486" s="18"/>
      <c r="L486" s="18" t="s">
        <v>171</v>
      </c>
      <c r="M486" s="18"/>
      <c r="N486" s="18" t="s">
        <v>172</v>
      </c>
    </row>
    <row r="487" customFormat="false" ht="15" hidden="false" customHeight="false" outlineLevel="0" collapsed="false">
      <c r="A487" s="18" t="s">
        <v>764</v>
      </c>
      <c r="B487" s="18" t="s">
        <v>1147</v>
      </c>
      <c r="C487" s="18" t="s">
        <v>194</v>
      </c>
      <c r="D487" s="18"/>
      <c r="E487" s="18" t="s">
        <v>1148</v>
      </c>
      <c r="F487" s="19" t="n">
        <v>45980</v>
      </c>
      <c r="G487" s="18" t="s">
        <v>196</v>
      </c>
      <c r="H487" s="18" t="s">
        <v>165</v>
      </c>
      <c r="I487" s="18" t="s">
        <v>165</v>
      </c>
      <c r="J487" s="18" t="s">
        <v>126</v>
      </c>
      <c r="K487" s="18"/>
      <c r="L487" s="18" t="s">
        <v>171</v>
      </c>
      <c r="M487" s="18"/>
      <c r="N487" s="18" t="s">
        <v>172</v>
      </c>
    </row>
    <row r="488" customFormat="false" ht="15" hidden="false" customHeight="false" outlineLevel="0" collapsed="false">
      <c r="A488" s="18" t="s">
        <v>764</v>
      </c>
      <c r="B488" s="18" t="s">
        <v>1149</v>
      </c>
      <c r="C488" s="18" t="s">
        <v>194</v>
      </c>
      <c r="D488" s="18"/>
      <c r="E488" s="18" t="s">
        <v>1150</v>
      </c>
      <c r="F488" s="19" t="n">
        <v>45985</v>
      </c>
      <c r="G488" s="18" t="s">
        <v>125</v>
      </c>
      <c r="H488" s="18" t="s">
        <v>126</v>
      </c>
      <c r="I488" s="18" t="s">
        <v>126</v>
      </c>
      <c r="J488" s="18" t="s">
        <v>126</v>
      </c>
      <c r="K488" s="18"/>
      <c r="L488" s="18" t="s">
        <v>56</v>
      </c>
      <c r="M488" s="20" t="s">
        <v>12</v>
      </c>
      <c r="N488" s="18" t="s">
        <v>268</v>
      </c>
    </row>
    <row r="489" customFormat="false" ht="15" hidden="false" customHeight="false" outlineLevel="0" collapsed="false">
      <c r="A489" s="18" t="s">
        <v>764</v>
      </c>
      <c r="B489" s="18" t="s">
        <v>1151</v>
      </c>
      <c r="C489" s="18" t="s">
        <v>194</v>
      </c>
      <c r="D489" s="18"/>
      <c r="E489" s="18" t="s">
        <v>1152</v>
      </c>
      <c r="F489" s="19" t="n">
        <v>45985</v>
      </c>
      <c r="G489" s="18" t="s">
        <v>125</v>
      </c>
      <c r="H489" s="18" t="s">
        <v>126</v>
      </c>
      <c r="I489" s="18" t="s">
        <v>126</v>
      </c>
      <c r="J489" s="18" t="s">
        <v>126</v>
      </c>
      <c r="K489" s="18"/>
      <c r="L489" s="18" t="s">
        <v>171</v>
      </c>
      <c r="M489" s="18"/>
      <c r="N489" s="18" t="s">
        <v>172</v>
      </c>
    </row>
    <row r="490" customFormat="false" ht="15" hidden="false" customHeight="false" outlineLevel="0" collapsed="false">
      <c r="A490" s="18" t="s">
        <v>764</v>
      </c>
      <c r="B490" s="18" t="s">
        <v>1153</v>
      </c>
      <c r="C490" s="18" t="s">
        <v>194</v>
      </c>
      <c r="D490" s="18"/>
      <c r="E490" s="18" t="s">
        <v>1154</v>
      </c>
      <c r="F490" s="19" t="n">
        <v>45986</v>
      </c>
      <c r="G490" s="18" t="s">
        <v>125</v>
      </c>
      <c r="H490" s="18" t="s">
        <v>126</v>
      </c>
      <c r="I490" s="18" t="s">
        <v>126</v>
      </c>
      <c r="J490" s="18" t="s">
        <v>126</v>
      </c>
      <c r="K490" s="18"/>
      <c r="L490" s="18" t="s">
        <v>36</v>
      </c>
      <c r="M490" s="21" t="s">
        <v>15</v>
      </c>
      <c r="N490" s="18" t="s">
        <v>439</v>
      </c>
    </row>
    <row r="491" customFormat="false" ht="15" hidden="false" customHeight="false" outlineLevel="0" collapsed="false">
      <c r="A491" s="18" t="s">
        <v>764</v>
      </c>
      <c r="B491" s="18" t="s">
        <v>1155</v>
      </c>
      <c r="C491" s="18" t="s">
        <v>194</v>
      </c>
      <c r="D491" s="18"/>
      <c r="E491" s="18" t="s">
        <v>1156</v>
      </c>
      <c r="F491" s="19" t="n">
        <v>46000</v>
      </c>
      <c r="G491" s="18" t="s">
        <v>125</v>
      </c>
      <c r="H491" s="18" t="s">
        <v>126</v>
      </c>
      <c r="I491" s="18" t="s">
        <v>126</v>
      </c>
      <c r="J491" s="18" t="s">
        <v>126</v>
      </c>
      <c r="K491" s="18"/>
      <c r="L491" s="18" t="s">
        <v>49</v>
      </c>
      <c r="M491" s="22" t="s">
        <v>50</v>
      </c>
      <c r="N491" s="18" t="s">
        <v>230</v>
      </c>
    </row>
    <row r="492" customFormat="false" ht="15" hidden="false" customHeight="false" outlineLevel="0" collapsed="false">
      <c r="A492" s="18" t="s">
        <v>764</v>
      </c>
      <c r="B492" s="18" t="s">
        <v>1157</v>
      </c>
      <c r="C492" s="18" t="s">
        <v>194</v>
      </c>
      <c r="D492" s="18"/>
      <c r="E492" s="18" t="s">
        <v>1158</v>
      </c>
      <c r="F492" s="19" t="n">
        <v>46001</v>
      </c>
      <c r="G492" s="18" t="s">
        <v>125</v>
      </c>
      <c r="H492" s="18" t="s">
        <v>126</v>
      </c>
      <c r="I492" s="18" t="s">
        <v>126</v>
      </c>
      <c r="J492" s="18" t="s">
        <v>126</v>
      </c>
      <c r="K492" s="18"/>
      <c r="L492" s="18" t="s">
        <v>11</v>
      </c>
      <c r="M492" s="20" t="s">
        <v>12</v>
      </c>
      <c r="N492" s="18" t="s">
        <v>159</v>
      </c>
    </row>
    <row r="493" customFormat="false" ht="15" hidden="false" customHeight="false" outlineLevel="0" collapsed="false">
      <c r="A493" s="18" t="s">
        <v>764</v>
      </c>
      <c r="B493" s="18" t="s">
        <v>1159</v>
      </c>
      <c r="C493" s="18" t="s">
        <v>194</v>
      </c>
      <c r="D493" s="18"/>
      <c r="E493" s="18" t="s">
        <v>1160</v>
      </c>
      <c r="F493" s="19" t="n">
        <v>46002</v>
      </c>
      <c r="G493" s="18" t="s">
        <v>125</v>
      </c>
      <c r="H493" s="18" t="s">
        <v>126</v>
      </c>
      <c r="I493" s="18" t="s">
        <v>126</v>
      </c>
      <c r="J493" s="18" t="s">
        <v>126</v>
      </c>
      <c r="K493" s="18"/>
      <c r="L493" s="18" t="s">
        <v>26</v>
      </c>
      <c r="M493" s="20" t="s">
        <v>12</v>
      </c>
      <c r="N493" s="18" t="s">
        <v>135</v>
      </c>
    </row>
    <row r="494" customFormat="false" ht="15" hidden="false" customHeight="false" outlineLevel="0" collapsed="false">
      <c r="A494" s="18" t="s">
        <v>764</v>
      </c>
      <c r="B494" s="18" t="s">
        <v>1161</v>
      </c>
      <c r="C494" s="18" t="s">
        <v>194</v>
      </c>
      <c r="D494" s="18"/>
      <c r="E494" s="18" t="s">
        <v>1162</v>
      </c>
      <c r="F494" s="19" t="n">
        <v>46002</v>
      </c>
      <c r="G494" s="18" t="s">
        <v>125</v>
      </c>
      <c r="H494" s="18" t="s">
        <v>126</v>
      </c>
      <c r="I494" s="18" t="s">
        <v>126</v>
      </c>
      <c r="J494" s="18" t="s">
        <v>126</v>
      </c>
      <c r="K494" s="18"/>
      <c r="L494" s="18" t="s">
        <v>210</v>
      </c>
      <c r="M494" s="18"/>
      <c r="N494" s="18" t="s">
        <v>211</v>
      </c>
    </row>
    <row r="495" customFormat="false" ht="15" hidden="false" customHeight="false" outlineLevel="0" collapsed="false">
      <c r="A495" s="18" t="s">
        <v>764</v>
      </c>
      <c r="B495" s="18" t="s">
        <v>1163</v>
      </c>
      <c r="C495" s="18" t="s">
        <v>194</v>
      </c>
      <c r="D495" s="18"/>
      <c r="E495" s="18" t="s">
        <v>1164</v>
      </c>
      <c r="F495" s="19" t="n">
        <v>46003</v>
      </c>
      <c r="G495" s="18" t="s">
        <v>125</v>
      </c>
      <c r="H495" s="18" t="s">
        <v>126</v>
      </c>
      <c r="I495" s="18" t="s">
        <v>126</v>
      </c>
      <c r="J495" s="18" t="s">
        <v>126</v>
      </c>
      <c r="K495" s="18"/>
      <c r="L495" s="18" t="s">
        <v>42</v>
      </c>
      <c r="M495" s="22" t="s">
        <v>50</v>
      </c>
      <c r="N495" s="18" t="s">
        <v>305</v>
      </c>
    </row>
    <row r="496" customFormat="false" ht="15" hidden="false" customHeight="false" outlineLevel="0" collapsed="false">
      <c r="A496" s="18" t="s">
        <v>764</v>
      </c>
      <c r="B496" s="18" t="s">
        <v>1165</v>
      </c>
      <c r="C496" s="18" t="s">
        <v>194</v>
      </c>
      <c r="D496" s="18"/>
      <c r="E496" s="18" t="s">
        <v>1166</v>
      </c>
      <c r="F496" s="19" t="n">
        <v>46003</v>
      </c>
      <c r="G496" s="18" t="s">
        <v>125</v>
      </c>
      <c r="H496" s="18" t="s">
        <v>126</v>
      </c>
      <c r="I496" s="18" t="s">
        <v>126</v>
      </c>
      <c r="J496" s="18" t="s">
        <v>126</v>
      </c>
      <c r="K496" s="18"/>
      <c r="L496" s="18" t="s">
        <v>64</v>
      </c>
      <c r="M496" s="20" t="s">
        <v>12</v>
      </c>
      <c r="N496" s="18" t="s">
        <v>153</v>
      </c>
    </row>
    <row r="497" customFormat="false" ht="15" hidden="false" customHeight="false" outlineLevel="0" collapsed="false">
      <c r="A497" s="18" t="s">
        <v>764</v>
      </c>
      <c r="B497" s="18" t="s">
        <v>1167</v>
      </c>
      <c r="C497" s="18" t="s">
        <v>194</v>
      </c>
      <c r="D497" s="18"/>
      <c r="E497" s="18" t="s">
        <v>1168</v>
      </c>
      <c r="F497" s="19" t="n">
        <v>46003</v>
      </c>
      <c r="G497" s="18" t="s">
        <v>125</v>
      </c>
      <c r="H497" s="18" t="s">
        <v>126</v>
      </c>
      <c r="I497" s="18" t="s">
        <v>126</v>
      </c>
      <c r="J497" s="18" t="s">
        <v>126</v>
      </c>
      <c r="K497" s="18"/>
      <c r="L497" s="18" t="s">
        <v>49</v>
      </c>
      <c r="M497" s="22" t="s">
        <v>50</v>
      </c>
      <c r="N497" s="18" t="s">
        <v>230</v>
      </c>
    </row>
    <row r="498" customFormat="false" ht="15" hidden="false" customHeight="false" outlineLevel="0" collapsed="false">
      <c r="A498" s="18" t="s">
        <v>764</v>
      </c>
      <c r="B498" s="18" t="s">
        <v>1169</v>
      </c>
      <c r="C498" s="18" t="s">
        <v>194</v>
      </c>
      <c r="D498" s="18"/>
      <c r="E498" s="18" t="s">
        <v>1170</v>
      </c>
      <c r="F498" s="19" t="n">
        <v>46003</v>
      </c>
      <c r="G498" s="18" t="s">
        <v>125</v>
      </c>
      <c r="H498" s="18" t="s">
        <v>126</v>
      </c>
      <c r="I498" s="18" t="s">
        <v>126</v>
      </c>
      <c r="J498" s="18" t="s">
        <v>126</v>
      </c>
      <c r="K498" s="18"/>
      <c r="L498" s="18" t="s">
        <v>45</v>
      </c>
      <c r="M498" s="20" t="s">
        <v>12</v>
      </c>
      <c r="N498" s="18" t="s">
        <v>308</v>
      </c>
    </row>
    <row r="499" customFormat="false" ht="15" hidden="false" customHeight="false" outlineLevel="0" collapsed="false">
      <c r="A499" s="18" t="s">
        <v>764</v>
      </c>
      <c r="B499" s="18" t="s">
        <v>1171</v>
      </c>
      <c r="C499" s="18" t="s">
        <v>194</v>
      </c>
      <c r="D499" s="18"/>
      <c r="E499" s="18" t="s">
        <v>1172</v>
      </c>
      <c r="F499" s="19" t="n">
        <v>46003</v>
      </c>
      <c r="G499" s="18" t="s">
        <v>125</v>
      </c>
      <c r="H499" s="18" t="s">
        <v>126</v>
      </c>
      <c r="I499" s="18" t="s">
        <v>126</v>
      </c>
      <c r="J499" s="18" t="s">
        <v>126</v>
      </c>
      <c r="K499" s="18"/>
      <c r="L499" s="18" t="s">
        <v>47</v>
      </c>
      <c r="M499" s="22" t="s">
        <v>50</v>
      </c>
      <c r="N499" s="18" t="s">
        <v>752</v>
      </c>
    </row>
    <row r="500" customFormat="false" ht="15" hidden="false" customHeight="false" outlineLevel="0" collapsed="false">
      <c r="A500" s="18" t="s">
        <v>764</v>
      </c>
      <c r="B500" s="18" t="s">
        <v>1173</v>
      </c>
      <c r="C500" s="18" t="s">
        <v>194</v>
      </c>
      <c r="D500" s="18"/>
      <c r="E500" s="18" t="s">
        <v>1174</v>
      </c>
      <c r="F500" s="19" t="n">
        <v>46003</v>
      </c>
      <c r="G500" s="18" t="s">
        <v>125</v>
      </c>
      <c r="H500" s="18" t="s">
        <v>126</v>
      </c>
      <c r="I500" s="18" t="s">
        <v>126</v>
      </c>
      <c r="J500" s="18" t="s">
        <v>126</v>
      </c>
      <c r="K500" s="18"/>
      <c r="L500" s="18" t="s">
        <v>11</v>
      </c>
      <c r="M500" s="20" t="s">
        <v>12</v>
      </c>
      <c r="N500" s="18" t="s">
        <v>181</v>
      </c>
    </row>
    <row r="501" customFormat="false" ht="15" hidden="false" customHeight="false" outlineLevel="0" collapsed="false">
      <c r="A501" s="18" t="s">
        <v>764</v>
      </c>
      <c r="B501" s="18" t="s">
        <v>1175</v>
      </c>
      <c r="C501" s="18" t="s">
        <v>194</v>
      </c>
      <c r="D501" s="18"/>
      <c r="E501" s="18" t="s">
        <v>1176</v>
      </c>
      <c r="F501" s="19" t="n">
        <v>46003</v>
      </c>
      <c r="G501" s="18" t="s">
        <v>125</v>
      </c>
      <c r="H501" s="18" t="s">
        <v>126</v>
      </c>
      <c r="I501" s="18" t="s">
        <v>126</v>
      </c>
      <c r="J501" s="18" t="s">
        <v>126</v>
      </c>
      <c r="K501" s="18"/>
      <c r="L501" s="18" t="s">
        <v>11</v>
      </c>
      <c r="M501" s="20" t="s">
        <v>12</v>
      </c>
      <c r="N501" s="18" t="s">
        <v>147</v>
      </c>
    </row>
    <row r="502" customFormat="false" ht="15" hidden="false" customHeight="false" outlineLevel="0" collapsed="false">
      <c r="A502" s="18" t="s">
        <v>764</v>
      </c>
      <c r="B502" s="18" t="s">
        <v>1177</v>
      </c>
      <c r="C502" s="18" t="s">
        <v>194</v>
      </c>
      <c r="D502" s="18"/>
      <c r="E502" s="18" t="s">
        <v>1178</v>
      </c>
      <c r="F502" s="19" t="n">
        <v>46003</v>
      </c>
      <c r="G502" s="18" t="s">
        <v>125</v>
      </c>
      <c r="H502" s="18" t="s">
        <v>126</v>
      </c>
      <c r="I502" s="18" t="s">
        <v>126</v>
      </c>
      <c r="J502" s="18" t="s">
        <v>126</v>
      </c>
      <c r="K502" s="18"/>
      <c r="L502" s="18" t="s">
        <v>11</v>
      </c>
      <c r="M502" s="20" t="s">
        <v>12</v>
      </c>
      <c r="N502" s="18" t="s">
        <v>147</v>
      </c>
    </row>
    <row r="503" customFormat="false" ht="15" hidden="false" customHeight="false" outlineLevel="0" collapsed="false">
      <c r="A503" s="18" t="s">
        <v>764</v>
      </c>
      <c r="B503" s="18" t="s">
        <v>1179</v>
      </c>
      <c r="C503" s="18" t="s">
        <v>194</v>
      </c>
      <c r="D503" s="18"/>
      <c r="E503" s="18" t="s">
        <v>1180</v>
      </c>
      <c r="F503" s="19" t="n">
        <v>46003</v>
      </c>
      <c r="G503" s="18" t="s">
        <v>125</v>
      </c>
      <c r="H503" s="18" t="s">
        <v>126</v>
      </c>
      <c r="I503" s="18" t="s">
        <v>126</v>
      </c>
      <c r="J503" s="18" t="s">
        <v>126</v>
      </c>
      <c r="K503" s="18"/>
      <c r="L503" s="18" t="s">
        <v>11</v>
      </c>
      <c r="M503" s="20" t="s">
        <v>12</v>
      </c>
      <c r="N503" s="18" t="s">
        <v>147</v>
      </c>
    </row>
    <row r="504" customFormat="false" ht="15" hidden="false" customHeight="false" outlineLevel="0" collapsed="false">
      <c r="A504" s="18" t="s">
        <v>764</v>
      </c>
      <c r="B504" s="18" t="s">
        <v>1181</v>
      </c>
      <c r="C504" s="18" t="s">
        <v>194</v>
      </c>
      <c r="D504" s="18"/>
      <c r="E504" s="18" t="s">
        <v>1182</v>
      </c>
      <c r="F504" s="19" t="n">
        <v>46006</v>
      </c>
      <c r="G504" s="18" t="s">
        <v>196</v>
      </c>
      <c r="H504" s="18" t="s">
        <v>165</v>
      </c>
      <c r="I504" s="18" t="s">
        <v>165</v>
      </c>
      <c r="J504" s="18" t="s">
        <v>126</v>
      </c>
      <c r="K504" s="18"/>
      <c r="L504" s="18" t="s">
        <v>56</v>
      </c>
      <c r="M504" s="20" t="s">
        <v>12</v>
      </c>
      <c r="N504" s="18" t="s">
        <v>268</v>
      </c>
    </row>
    <row r="505" customFormat="false" ht="15" hidden="false" customHeight="false" outlineLevel="0" collapsed="false">
      <c r="A505" s="18" t="s">
        <v>764</v>
      </c>
      <c r="B505" s="18" t="s">
        <v>1183</v>
      </c>
      <c r="C505" s="18" t="s">
        <v>194</v>
      </c>
      <c r="D505" s="18"/>
      <c r="E505" s="18" t="s">
        <v>1184</v>
      </c>
      <c r="F505" s="19" t="n">
        <v>46006</v>
      </c>
      <c r="G505" s="18" t="s">
        <v>125</v>
      </c>
      <c r="H505" s="18" t="s">
        <v>126</v>
      </c>
      <c r="I505" s="18" t="s">
        <v>126</v>
      </c>
      <c r="J505" s="18" t="s">
        <v>126</v>
      </c>
      <c r="K505" s="18"/>
      <c r="L505" s="18" t="s">
        <v>11</v>
      </c>
      <c r="M505" s="20" t="s">
        <v>12</v>
      </c>
      <c r="N505" s="18" t="s">
        <v>181</v>
      </c>
    </row>
    <row r="506" customFormat="false" ht="15" hidden="false" customHeight="false" outlineLevel="0" collapsed="false">
      <c r="A506" s="18" t="s">
        <v>764</v>
      </c>
      <c r="B506" s="18" t="s">
        <v>1185</v>
      </c>
      <c r="C506" s="18" t="s">
        <v>194</v>
      </c>
      <c r="D506" s="18"/>
      <c r="E506" s="18" t="s">
        <v>1186</v>
      </c>
      <c r="F506" s="19" t="n">
        <v>46006</v>
      </c>
      <c r="G506" s="18" t="s">
        <v>125</v>
      </c>
      <c r="H506" s="18" t="s">
        <v>126</v>
      </c>
      <c r="I506" s="18" t="s">
        <v>126</v>
      </c>
      <c r="J506" s="18" t="s">
        <v>126</v>
      </c>
      <c r="K506" s="18"/>
      <c r="L506" s="18" t="s">
        <v>26</v>
      </c>
      <c r="M506" s="20" t="s">
        <v>12</v>
      </c>
      <c r="N506" s="18" t="s">
        <v>135</v>
      </c>
    </row>
    <row r="507" customFormat="false" ht="15" hidden="false" customHeight="false" outlineLevel="0" collapsed="false">
      <c r="A507" s="18" t="s">
        <v>764</v>
      </c>
      <c r="B507" s="18" t="s">
        <v>1187</v>
      </c>
      <c r="C507" s="18" t="s">
        <v>194</v>
      </c>
      <c r="D507" s="18"/>
      <c r="E507" s="18" t="s">
        <v>1188</v>
      </c>
      <c r="F507" s="19" t="n">
        <v>46008</v>
      </c>
      <c r="G507" s="18" t="s">
        <v>125</v>
      </c>
      <c r="H507" s="18" t="s">
        <v>126</v>
      </c>
      <c r="I507" s="18" t="s">
        <v>126</v>
      </c>
      <c r="J507" s="18" t="s">
        <v>126</v>
      </c>
      <c r="K507" s="18"/>
      <c r="L507" s="18" t="s">
        <v>47</v>
      </c>
      <c r="M507" s="22" t="s">
        <v>50</v>
      </c>
      <c r="N507" s="18" t="s">
        <v>752</v>
      </c>
    </row>
    <row r="508" customFormat="false" ht="15" hidden="false" customHeight="false" outlineLevel="0" collapsed="false">
      <c r="A508" s="18" t="s">
        <v>764</v>
      </c>
      <c r="B508" s="18" t="s">
        <v>1189</v>
      </c>
      <c r="C508" s="18" t="s">
        <v>194</v>
      </c>
      <c r="D508" s="18"/>
      <c r="E508" s="18" t="s">
        <v>1190</v>
      </c>
      <c r="F508" s="19" t="n">
        <v>46008</v>
      </c>
      <c r="G508" s="18" t="s">
        <v>125</v>
      </c>
      <c r="H508" s="18" t="s">
        <v>126</v>
      </c>
      <c r="I508" s="18" t="s">
        <v>126</v>
      </c>
      <c r="J508" s="18" t="s">
        <v>126</v>
      </c>
      <c r="K508" s="18"/>
      <c r="L508" s="18" t="s">
        <v>36</v>
      </c>
      <c r="M508" s="21" t="s">
        <v>15</v>
      </c>
      <c r="N508" s="18" t="s">
        <v>439</v>
      </c>
    </row>
    <row r="509" customFormat="false" ht="15" hidden="false" customHeight="false" outlineLevel="0" collapsed="false">
      <c r="A509" s="18" t="s">
        <v>764</v>
      </c>
      <c r="B509" s="18" t="s">
        <v>1191</v>
      </c>
      <c r="C509" s="18" t="s">
        <v>194</v>
      </c>
      <c r="D509" s="18"/>
      <c r="E509" s="18" t="s">
        <v>1192</v>
      </c>
      <c r="F509" s="19" t="n">
        <v>46010</v>
      </c>
      <c r="G509" s="18" t="s">
        <v>125</v>
      </c>
      <c r="H509" s="18" t="s">
        <v>126</v>
      </c>
      <c r="I509" s="18" t="s">
        <v>126</v>
      </c>
      <c r="J509" s="18" t="s">
        <v>126</v>
      </c>
      <c r="K509" s="18"/>
      <c r="L509" s="18" t="s">
        <v>171</v>
      </c>
      <c r="M509" s="18"/>
      <c r="N509" s="18" t="s">
        <v>172</v>
      </c>
    </row>
    <row r="510" customFormat="false" ht="15" hidden="false" customHeight="false" outlineLevel="0" collapsed="false">
      <c r="A510" s="18" t="s">
        <v>764</v>
      </c>
      <c r="B510" s="18" t="s">
        <v>1193</v>
      </c>
      <c r="C510" s="18" t="s">
        <v>194</v>
      </c>
      <c r="D510" s="18"/>
      <c r="E510" s="18" t="s">
        <v>1194</v>
      </c>
      <c r="F510" s="19" t="n">
        <v>46021</v>
      </c>
      <c r="G510" s="18" t="s">
        <v>196</v>
      </c>
      <c r="H510" s="18" t="s">
        <v>165</v>
      </c>
      <c r="I510" s="18" t="s">
        <v>165</v>
      </c>
      <c r="J510" s="18" t="s">
        <v>165</v>
      </c>
      <c r="K510" s="18" t="s">
        <v>166</v>
      </c>
      <c r="L510" s="18" t="s">
        <v>167</v>
      </c>
      <c r="M510" s="18"/>
      <c r="N510" s="18" t="s">
        <v>168</v>
      </c>
    </row>
    <row r="511" customFormat="false" ht="15" hidden="false" customHeight="false" outlineLevel="0" collapsed="false">
      <c r="A511" s="18" t="s">
        <v>1195</v>
      </c>
      <c r="B511" s="18" t="s">
        <v>1196</v>
      </c>
      <c r="C511" s="18" t="s">
        <v>194</v>
      </c>
      <c r="D511" s="18"/>
      <c r="E511" s="18" t="s">
        <v>1197</v>
      </c>
      <c r="F511" s="19" t="n">
        <v>45817</v>
      </c>
      <c r="G511" s="18" t="s">
        <v>125</v>
      </c>
      <c r="H511" s="18" t="s">
        <v>126</v>
      </c>
      <c r="I511" s="18" t="s">
        <v>126</v>
      </c>
      <c r="J511" s="18" t="s">
        <v>126</v>
      </c>
      <c r="K511" s="18"/>
      <c r="L511" s="18" t="s">
        <v>34</v>
      </c>
      <c r="M511" s="20" t="s">
        <v>12</v>
      </c>
      <c r="N511" s="18" t="s">
        <v>34</v>
      </c>
    </row>
    <row r="512" customFormat="false" ht="15" hidden="false" customHeight="false" outlineLevel="0" collapsed="false">
      <c r="A512" s="18" t="s">
        <v>1195</v>
      </c>
      <c r="B512" s="18" t="s">
        <v>1198</v>
      </c>
      <c r="C512" s="18" t="s">
        <v>194</v>
      </c>
      <c r="D512" s="18"/>
      <c r="E512" s="18" t="s">
        <v>1199</v>
      </c>
      <c r="F512" s="19" t="n">
        <v>45817</v>
      </c>
      <c r="G512" s="18" t="s">
        <v>125</v>
      </c>
      <c r="H512" s="18" t="s">
        <v>126</v>
      </c>
      <c r="I512" s="18" t="s">
        <v>126</v>
      </c>
      <c r="J512" s="18" t="s">
        <v>165</v>
      </c>
      <c r="K512" s="18" t="s">
        <v>1200</v>
      </c>
      <c r="L512" s="18" t="s">
        <v>49</v>
      </c>
      <c r="M512" s="22" t="s">
        <v>50</v>
      </c>
      <c r="N512" s="18" t="s">
        <v>230</v>
      </c>
    </row>
    <row r="513" customFormat="false" ht="15" hidden="false" customHeight="false" outlineLevel="0" collapsed="false">
      <c r="A513" s="18" t="s">
        <v>1195</v>
      </c>
      <c r="B513" s="18" t="s">
        <v>1201</v>
      </c>
      <c r="C513" s="18" t="s">
        <v>194</v>
      </c>
      <c r="D513" s="18"/>
      <c r="E513" s="18" t="s">
        <v>731</v>
      </c>
      <c r="F513" s="19" t="n">
        <v>45817</v>
      </c>
      <c r="G513" s="18" t="s">
        <v>125</v>
      </c>
      <c r="H513" s="18" t="s">
        <v>126</v>
      </c>
      <c r="I513" s="18" t="s">
        <v>126</v>
      </c>
      <c r="J513" s="18" t="s">
        <v>165</v>
      </c>
      <c r="K513" s="18" t="s">
        <v>1200</v>
      </c>
      <c r="L513" s="18" t="s">
        <v>167</v>
      </c>
      <c r="M513" s="18"/>
      <c r="N513" s="18" t="s">
        <v>168</v>
      </c>
    </row>
    <row r="514" customFormat="false" ht="15" hidden="false" customHeight="false" outlineLevel="0" collapsed="false">
      <c r="A514" s="18" t="s">
        <v>1195</v>
      </c>
      <c r="B514" s="18" t="s">
        <v>1202</v>
      </c>
      <c r="C514" s="18" t="s">
        <v>194</v>
      </c>
      <c r="D514" s="18"/>
      <c r="E514" s="18" t="s">
        <v>1203</v>
      </c>
      <c r="F514" s="19" t="n">
        <v>45817</v>
      </c>
      <c r="G514" s="18" t="s">
        <v>125</v>
      </c>
      <c r="H514" s="18" t="s">
        <v>126</v>
      </c>
      <c r="I514" s="18" t="s">
        <v>126</v>
      </c>
      <c r="J514" s="18" t="s">
        <v>126</v>
      </c>
      <c r="K514" s="18"/>
      <c r="L514" s="18" t="s">
        <v>28</v>
      </c>
      <c r="M514" s="20" t="s">
        <v>12</v>
      </c>
      <c r="N514" s="18" t="s">
        <v>127</v>
      </c>
    </row>
    <row r="515" customFormat="false" ht="15" hidden="false" customHeight="false" outlineLevel="0" collapsed="false">
      <c r="A515" s="18" t="s">
        <v>1195</v>
      </c>
      <c r="B515" s="18" t="s">
        <v>1204</v>
      </c>
      <c r="C515" s="18" t="s">
        <v>194</v>
      </c>
      <c r="D515" s="18"/>
      <c r="E515" s="18" t="s">
        <v>1205</v>
      </c>
      <c r="F515" s="19" t="n">
        <v>45817</v>
      </c>
      <c r="G515" s="18" t="s">
        <v>125</v>
      </c>
      <c r="H515" s="18" t="s">
        <v>126</v>
      </c>
      <c r="I515" s="18" t="s">
        <v>126</v>
      </c>
      <c r="J515" s="18" t="s">
        <v>165</v>
      </c>
      <c r="K515" s="18" t="s">
        <v>1200</v>
      </c>
      <c r="L515" s="18" t="s">
        <v>273</v>
      </c>
      <c r="M515" s="18"/>
      <c r="N515" s="18" t="s">
        <v>274</v>
      </c>
    </row>
    <row r="516" customFormat="false" ht="15" hidden="false" customHeight="false" outlineLevel="0" collapsed="false">
      <c r="A516" s="18" t="s">
        <v>1195</v>
      </c>
      <c r="B516" s="18" t="s">
        <v>1206</v>
      </c>
      <c r="C516" s="18" t="s">
        <v>194</v>
      </c>
      <c r="D516" s="18"/>
      <c r="E516" s="18" t="s">
        <v>1207</v>
      </c>
      <c r="F516" s="19" t="n">
        <v>45817</v>
      </c>
      <c r="G516" s="18" t="s">
        <v>125</v>
      </c>
      <c r="H516" s="18" t="s">
        <v>126</v>
      </c>
      <c r="I516" s="18" t="s">
        <v>126</v>
      </c>
      <c r="J516" s="18" t="s">
        <v>165</v>
      </c>
      <c r="K516" s="18" t="s">
        <v>1200</v>
      </c>
      <c r="L516" s="18" t="s">
        <v>56</v>
      </c>
      <c r="M516" s="20" t="s">
        <v>12</v>
      </c>
      <c r="N516" s="18" t="s">
        <v>268</v>
      </c>
    </row>
    <row r="517" customFormat="false" ht="15" hidden="false" customHeight="false" outlineLevel="0" collapsed="false">
      <c r="A517" s="18" t="s">
        <v>1195</v>
      </c>
      <c r="B517" s="18" t="s">
        <v>1208</v>
      </c>
      <c r="C517" s="18" t="s">
        <v>194</v>
      </c>
      <c r="D517" s="18"/>
      <c r="E517" s="18" t="s">
        <v>1209</v>
      </c>
      <c r="F517" s="19" t="n">
        <v>45817</v>
      </c>
      <c r="G517" s="18" t="s">
        <v>196</v>
      </c>
      <c r="H517" s="18" t="s">
        <v>165</v>
      </c>
      <c r="I517" s="18" t="s">
        <v>165</v>
      </c>
      <c r="J517" s="18" t="s">
        <v>165</v>
      </c>
      <c r="K517" s="18" t="s">
        <v>1200</v>
      </c>
      <c r="L517" s="18" t="s">
        <v>56</v>
      </c>
      <c r="M517" s="20" t="s">
        <v>12</v>
      </c>
      <c r="N517" s="18" t="s">
        <v>268</v>
      </c>
    </row>
    <row r="518" customFormat="false" ht="15" hidden="false" customHeight="false" outlineLevel="0" collapsed="false">
      <c r="A518" s="18" t="s">
        <v>1195</v>
      </c>
      <c r="B518" s="18" t="s">
        <v>1210</v>
      </c>
      <c r="C518" s="18" t="s">
        <v>194</v>
      </c>
      <c r="D518" s="18"/>
      <c r="E518" s="18" t="s">
        <v>1211</v>
      </c>
      <c r="F518" s="19" t="n">
        <v>45817</v>
      </c>
      <c r="G518" s="18" t="s">
        <v>196</v>
      </c>
      <c r="H518" s="18" t="s">
        <v>165</v>
      </c>
      <c r="I518" s="18" t="s">
        <v>165</v>
      </c>
      <c r="J518" s="18" t="s">
        <v>165</v>
      </c>
      <c r="K518" s="18" t="s">
        <v>1200</v>
      </c>
      <c r="L518" s="18" t="s">
        <v>171</v>
      </c>
      <c r="M518" s="18"/>
      <c r="N518" s="18" t="s">
        <v>172</v>
      </c>
    </row>
    <row r="519" customFormat="false" ht="15" hidden="false" customHeight="false" outlineLevel="0" collapsed="false">
      <c r="A519" s="18" t="s">
        <v>1195</v>
      </c>
      <c r="B519" s="18" t="s">
        <v>1212</v>
      </c>
      <c r="C519" s="18" t="s">
        <v>194</v>
      </c>
      <c r="D519" s="18"/>
      <c r="E519" s="18" t="s">
        <v>1213</v>
      </c>
      <c r="F519" s="19" t="n">
        <v>45817</v>
      </c>
      <c r="G519" s="18" t="s">
        <v>125</v>
      </c>
      <c r="H519" s="18" t="s">
        <v>126</v>
      </c>
      <c r="I519" s="18" t="s">
        <v>126</v>
      </c>
      <c r="J519" s="18" t="s">
        <v>165</v>
      </c>
      <c r="K519" s="18" t="s">
        <v>1200</v>
      </c>
      <c r="L519" s="18" t="s">
        <v>59</v>
      </c>
      <c r="M519" s="22" t="s">
        <v>50</v>
      </c>
      <c r="N519" s="18" t="s">
        <v>141</v>
      </c>
    </row>
    <row r="520" customFormat="false" ht="15" hidden="false" customHeight="false" outlineLevel="0" collapsed="false">
      <c r="A520" s="18" t="s">
        <v>1195</v>
      </c>
      <c r="B520" s="18" t="s">
        <v>1214</v>
      </c>
      <c r="C520" s="18" t="s">
        <v>194</v>
      </c>
      <c r="D520" s="18"/>
      <c r="E520" s="18" t="s">
        <v>1215</v>
      </c>
      <c r="F520" s="19" t="n">
        <v>45817</v>
      </c>
      <c r="G520" s="18" t="s">
        <v>196</v>
      </c>
      <c r="H520" s="18" t="s">
        <v>165</v>
      </c>
      <c r="I520" s="18" t="s">
        <v>165</v>
      </c>
      <c r="J520" s="18" t="s">
        <v>165</v>
      </c>
      <c r="K520" s="18" t="s">
        <v>1200</v>
      </c>
      <c r="L520" s="18" t="s">
        <v>273</v>
      </c>
      <c r="M520" s="18"/>
      <c r="N520" s="18" t="s">
        <v>274</v>
      </c>
    </row>
    <row r="521" customFormat="false" ht="15" hidden="false" customHeight="false" outlineLevel="0" collapsed="false">
      <c r="A521" s="18" t="s">
        <v>1195</v>
      </c>
      <c r="B521" s="18" t="s">
        <v>1216</v>
      </c>
      <c r="C521" s="18" t="s">
        <v>194</v>
      </c>
      <c r="D521" s="18"/>
      <c r="E521" s="18" t="s">
        <v>1217</v>
      </c>
      <c r="F521" s="19" t="n">
        <v>45817</v>
      </c>
      <c r="G521" s="18" t="s">
        <v>125</v>
      </c>
      <c r="H521" s="18" t="s">
        <v>126</v>
      </c>
      <c r="I521" s="18" t="s">
        <v>126</v>
      </c>
      <c r="J521" s="18" t="s">
        <v>126</v>
      </c>
      <c r="K521" s="18"/>
      <c r="L521" s="18" t="s">
        <v>171</v>
      </c>
      <c r="M521" s="18"/>
      <c r="N521" s="18" t="s">
        <v>172</v>
      </c>
    </row>
    <row r="522" customFormat="false" ht="15" hidden="false" customHeight="false" outlineLevel="0" collapsed="false">
      <c r="A522" s="18" t="s">
        <v>1195</v>
      </c>
      <c r="B522" s="18" t="s">
        <v>1218</v>
      </c>
      <c r="C522" s="18" t="s">
        <v>194</v>
      </c>
      <c r="D522" s="18"/>
      <c r="E522" s="18" t="s">
        <v>1219</v>
      </c>
      <c r="F522" s="19" t="n">
        <v>45817</v>
      </c>
      <c r="G522" s="18" t="s">
        <v>125</v>
      </c>
      <c r="H522" s="18" t="s">
        <v>126</v>
      </c>
      <c r="I522" s="18" t="s">
        <v>126</v>
      </c>
      <c r="J522" s="18" t="s">
        <v>126</v>
      </c>
      <c r="K522" s="18"/>
      <c r="L522" s="18" t="s">
        <v>171</v>
      </c>
      <c r="M522" s="18"/>
      <c r="N522" s="18" t="s">
        <v>172</v>
      </c>
    </row>
    <row r="523" customFormat="false" ht="15" hidden="false" customHeight="false" outlineLevel="0" collapsed="false">
      <c r="A523" s="18" t="s">
        <v>1195</v>
      </c>
      <c r="B523" s="18" t="s">
        <v>1220</v>
      </c>
      <c r="C523" s="18" t="s">
        <v>194</v>
      </c>
      <c r="D523" s="18"/>
      <c r="E523" s="18" t="s">
        <v>1221</v>
      </c>
      <c r="F523" s="19" t="n">
        <v>45817</v>
      </c>
      <c r="G523" s="18" t="s">
        <v>125</v>
      </c>
      <c r="H523" s="18" t="s">
        <v>126</v>
      </c>
      <c r="I523" s="18" t="s">
        <v>126</v>
      </c>
      <c r="J523" s="18" t="s">
        <v>126</v>
      </c>
      <c r="K523" s="18"/>
      <c r="L523" s="18" t="s">
        <v>171</v>
      </c>
      <c r="M523" s="18"/>
      <c r="N523" s="18" t="s">
        <v>172</v>
      </c>
    </row>
    <row r="524" customFormat="false" ht="15" hidden="false" customHeight="false" outlineLevel="0" collapsed="false">
      <c r="A524" s="18" t="s">
        <v>1195</v>
      </c>
      <c r="B524" s="18" t="s">
        <v>1222</v>
      </c>
      <c r="C524" s="18" t="s">
        <v>194</v>
      </c>
      <c r="D524" s="18"/>
      <c r="E524" s="18" t="s">
        <v>1223</v>
      </c>
      <c r="F524" s="19" t="n">
        <v>45817</v>
      </c>
      <c r="G524" s="18" t="s">
        <v>125</v>
      </c>
      <c r="H524" s="18" t="s">
        <v>126</v>
      </c>
      <c r="I524" s="18" t="s">
        <v>126</v>
      </c>
      <c r="J524" s="18" t="s">
        <v>165</v>
      </c>
      <c r="K524" s="18" t="s">
        <v>1200</v>
      </c>
      <c r="L524" s="18" t="s">
        <v>83</v>
      </c>
      <c r="M524" s="20" t="s">
        <v>12</v>
      </c>
      <c r="N524" s="18" t="s">
        <v>144</v>
      </c>
    </row>
    <row r="525" customFormat="false" ht="15" hidden="false" customHeight="false" outlineLevel="0" collapsed="false">
      <c r="A525" s="18" t="s">
        <v>1195</v>
      </c>
      <c r="B525" s="18" t="s">
        <v>1224</v>
      </c>
      <c r="C525" s="18" t="s">
        <v>194</v>
      </c>
      <c r="D525" s="18"/>
      <c r="E525" s="18" t="s">
        <v>467</v>
      </c>
      <c r="F525" s="19" t="n">
        <v>45817</v>
      </c>
      <c r="G525" s="18" t="s">
        <v>196</v>
      </c>
      <c r="H525" s="18" t="s">
        <v>165</v>
      </c>
      <c r="I525" s="18" t="s">
        <v>165</v>
      </c>
      <c r="J525" s="18" t="s">
        <v>165</v>
      </c>
      <c r="K525" s="18" t="s">
        <v>1200</v>
      </c>
      <c r="L525" s="18" t="s">
        <v>26</v>
      </c>
      <c r="M525" s="20" t="s">
        <v>12</v>
      </c>
      <c r="N525" s="18" t="s">
        <v>135</v>
      </c>
    </row>
    <row r="526" customFormat="false" ht="15" hidden="false" customHeight="false" outlineLevel="0" collapsed="false">
      <c r="A526" s="18" t="s">
        <v>1195</v>
      </c>
      <c r="B526" s="18" t="s">
        <v>1225</v>
      </c>
      <c r="C526" s="18" t="s">
        <v>194</v>
      </c>
      <c r="D526" s="18"/>
      <c r="E526" s="18" t="s">
        <v>177</v>
      </c>
      <c r="F526" s="19" t="n">
        <v>45817</v>
      </c>
      <c r="G526" s="18" t="s">
        <v>125</v>
      </c>
      <c r="H526" s="18" t="s">
        <v>126</v>
      </c>
      <c r="I526" s="18" t="s">
        <v>126</v>
      </c>
      <c r="J526" s="18" t="s">
        <v>165</v>
      </c>
      <c r="K526" s="18" t="s">
        <v>1200</v>
      </c>
      <c r="L526" s="18" t="s">
        <v>52</v>
      </c>
      <c r="M526" s="22" t="s">
        <v>50</v>
      </c>
      <c r="N526" s="18" t="s">
        <v>178</v>
      </c>
    </row>
    <row r="527" customFormat="false" ht="15" hidden="false" customHeight="false" outlineLevel="0" collapsed="false">
      <c r="A527" s="18" t="s">
        <v>1195</v>
      </c>
      <c r="B527" s="18" t="s">
        <v>1226</v>
      </c>
      <c r="C527" s="18" t="s">
        <v>194</v>
      </c>
      <c r="D527" s="18"/>
      <c r="E527" s="18" t="s">
        <v>1227</v>
      </c>
      <c r="F527" s="19" t="n">
        <v>45817</v>
      </c>
      <c r="G527" s="18" t="s">
        <v>125</v>
      </c>
      <c r="H527" s="18" t="s">
        <v>126</v>
      </c>
      <c r="I527" s="18" t="s">
        <v>126</v>
      </c>
      <c r="J527" s="18" t="s">
        <v>165</v>
      </c>
      <c r="K527" s="18" t="s">
        <v>1200</v>
      </c>
      <c r="L527" s="18" t="s">
        <v>171</v>
      </c>
      <c r="M527" s="18"/>
      <c r="N527" s="18" t="s">
        <v>172</v>
      </c>
    </row>
    <row r="528" customFormat="false" ht="15" hidden="false" customHeight="false" outlineLevel="0" collapsed="false">
      <c r="A528" s="18" t="s">
        <v>1195</v>
      </c>
      <c r="B528" s="18" t="s">
        <v>1228</v>
      </c>
      <c r="C528" s="18" t="s">
        <v>194</v>
      </c>
      <c r="D528" s="18"/>
      <c r="E528" s="18" t="s">
        <v>1229</v>
      </c>
      <c r="F528" s="19" t="n">
        <v>45817</v>
      </c>
      <c r="G528" s="18" t="s">
        <v>125</v>
      </c>
      <c r="H528" s="18" t="s">
        <v>126</v>
      </c>
      <c r="I528" s="18" t="s">
        <v>126</v>
      </c>
      <c r="J528" s="18" t="s">
        <v>165</v>
      </c>
      <c r="K528" s="18" t="s">
        <v>1200</v>
      </c>
      <c r="L528" s="18" t="s">
        <v>171</v>
      </c>
      <c r="M528" s="18"/>
      <c r="N528" s="18" t="s">
        <v>172</v>
      </c>
    </row>
    <row r="529" customFormat="false" ht="15" hidden="false" customHeight="false" outlineLevel="0" collapsed="false">
      <c r="A529" s="18" t="s">
        <v>1195</v>
      </c>
      <c r="B529" s="18" t="s">
        <v>1230</v>
      </c>
      <c r="C529" s="18" t="s">
        <v>194</v>
      </c>
      <c r="D529" s="18"/>
      <c r="E529" s="18" t="s">
        <v>1231</v>
      </c>
      <c r="F529" s="19" t="n">
        <v>45817</v>
      </c>
      <c r="G529" s="18" t="s">
        <v>826</v>
      </c>
      <c r="H529" s="18" t="s">
        <v>165</v>
      </c>
      <c r="I529" s="18" t="s">
        <v>126</v>
      </c>
      <c r="J529" s="18" t="s">
        <v>165</v>
      </c>
      <c r="K529" s="18" t="s">
        <v>1200</v>
      </c>
      <c r="L529" s="18" t="s">
        <v>273</v>
      </c>
      <c r="M529" s="18"/>
      <c r="N529" s="18" t="s">
        <v>274</v>
      </c>
    </row>
    <row r="530" customFormat="false" ht="15" hidden="false" customHeight="false" outlineLevel="0" collapsed="false">
      <c r="A530" s="18" t="s">
        <v>1195</v>
      </c>
      <c r="B530" s="18" t="s">
        <v>1232</v>
      </c>
      <c r="C530" s="18" t="s">
        <v>194</v>
      </c>
      <c r="D530" s="18"/>
      <c r="E530" s="18" t="s">
        <v>1233</v>
      </c>
      <c r="F530" s="19" t="n">
        <v>45817</v>
      </c>
      <c r="G530" s="18" t="s">
        <v>196</v>
      </c>
      <c r="H530" s="18" t="s">
        <v>165</v>
      </c>
      <c r="I530" s="18" t="s">
        <v>165</v>
      </c>
      <c r="J530" s="18" t="s">
        <v>165</v>
      </c>
      <c r="K530" s="18" t="s">
        <v>1200</v>
      </c>
      <c r="L530" s="18" t="s">
        <v>204</v>
      </c>
      <c r="M530" s="18"/>
      <c r="N530" s="18" t="s">
        <v>220</v>
      </c>
    </row>
    <row r="531" customFormat="false" ht="15" hidden="false" customHeight="false" outlineLevel="0" collapsed="false">
      <c r="A531" s="18" t="s">
        <v>1195</v>
      </c>
      <c r="B531" s="18" t="s">
        <v>1234</v>
      </c>
      <c r="C531" s="18" t="s">
        <v>194</v>
      </c>
      <c r="D531" s="18"/>
      <c r="E531" s="18" t="s">
        <v>1235</v>
      </c>
      <c r="F531" s="19" t="n">
        <v>45817</v>
      </c>
      <c r="G531" s="18" t="s">
        <v>125</v>
      </c>
      <c r="H531" s="18" t="s">
        <v>126</v>
      </c>
      <c r="I531" s="18" t="s">
        <v>126</v>
      </c>
      <c r="J531" s="18" t="s">
        <v>165</v>
      </c>
      <c r="K531" s="18" t="s">
        <v>1200</v>
      </c>
      <c r="L531" s="18" t="s">
        <v>52</v>
      </c>
      <c r="M531" s="22" t="s">
        <v>50</v>
      </c>
      <c r="N531" s="18" t="s">
        <v>178</v>
      </c>
    </row>
    <row r="532" customFormat="false" ht="15" hidden="false" customHeight="false" outlineLevel="0" collapsed="false">
      <c r="A532" s="18" t="s">
        <v>1195</v>
      </c>
      <c r="B532" s="18" t="s">
        <v>1236</v>
      </c>
      <c r="C532" s="18" t="s">
        <v>194</v>
      </c>
      <c r="D532" s="18"/>
      <c r="E532" s="18" t="s">
        <v>1237</v>
      </c>
      <c r="F532" s="19" t="n">
        <v>45817</v>
      </c>
      <c r="G532" s="18" t="s">
        <v>125</v>
      </c>
      <c r="H532" s="18" t="s">
        <v>126</v>
      </c>
      <c r="I532" s="18" t="s">
        <v>126</v>
      </c>
      <c r="J532" s="18" t="s">
        <v>165</v>
      </c>
      <c r="K532" s="18" t="s">
        <v>1200</v>
      </c>
      <c r="L532" s="18" t="s">
        <v>171</v>
      </c>
      <c r="M532" s="18"/>
      <c r="N532" s="18" t="s">
        <v>172</v>
      </c>
    </row>
    <row r="533" customFormat="false" ht="15" hidden="false" customHeight="false" outlineLevel="0" collapsed="false">
      <c r="A533" s="18" t="s">
        <v>1195</v>
      </c>
      <c r="B533" s="18" t="s">
        <v>1238</v>
      </c>
      <c r="C533" s="18" t="s">
        <v>194</v>
      </c>
      <c r="D533" s="18"/>
      <c r="E533" s="18" t="s">
        <v>1239</v>
      </c>
      <c r="F533" s="19" t="n">
        <v>45817</v>
      </c>
      <c r="G533" s="18" t="s">
        <v>125</v>
      </c>
      <c r="H533" s="18" t="s">
        <v>126</v>
      </c>
      <c r="I533" s="18" t="s">
        <v>126</v>
      </c>
      <c r="J533" s="18" t="s">
        <v>165</v>
      </c>
      <c r="K533" s="18" t="s">
        <v>1200</v>
      </c>
      <c r="L533" s="18" t="s">
        <v>204</v>
      </c>
      <c r="M533" s="18"/>
      <c r="N533" s="18" t="s">
        <v>220</v>
      </c>
    </row>
    <row r="534" customFormat="false" ht="15" hidden="false" customHeight="false" outlineLevel="0" collapsed="false">
      <c r="A534" s="18" t="s">
        <v>1195</v>
      </c>
      <c r="B534" s="18" t="s">
        <v>1240</v>
      </c>
      <c r="C534" s="18" t="s">
        <v>194</v>
      </c>
      <c r="D534" s="18"/>
      <c r="E534" s="18" t="s">
        <v>1241</v>
      </c>
      <c r="F534" s="19" t="n">
        <v>45817</v>
      </c>
      <c r="G534" s="18" t="s">
        <v>196</v>
      </c>
      <c r="H534" s="18" t="s">
        <v>165</v>
      </c>
      <c r="I534" s="18" t="s">
        <v>165</v>
      </c>
      <c r="J534" s="18" t="s">
        <v>165</v>
      </c>
      <c r="K534" s="18" t="s">
        <v>1200</v>
      </c>
      <c r="L534" s="18" t="s">
        <v>66</v>
      </c>
      <c r="M534" s="22" t="s">
        <v>50</v>
      </c>
      <c r="N534" s="18" t="s">
        <v>66</v>
      </c>
    </row>
    <row r="535" customFormat="false" ht="15" hidden="false" customHeight="false" outlineLevel="0" collapsed="false">
      <c r="A535" s="18" t="s">
        <v>1195</v>
      </c>
      <c r="B535" s="18" t="s">
        <v>1242</v>
      </c>
      <c r="C535" s="18" t="s">
        <v>194</v>
      </c>
      <c r="D535" s="18"/>
      <c r="E535" s="18" t="s">
        <v>1243</v>
      </c>
      <c r="F535" s="19" t="n">
        <v>45817</v>
      </c>
      <c r="G535" s="18" t="s">
        <v>125</v>
      </c>
      <c r="H535" s="18" t="s">
        <v>126</v>
      </c>
      <c r="I535" s="18" t="s">
        <v>126</v>
      </c>
      <c r="J535" s="18" t="s">
        <v>126</v>
      </c>
      <c r="K535" s="18"/>
      <c r="L535" s="18" t="s">
        <v>72</v>
      </c>
      <c r="M535" s="20" t="s">
        <v>12</v>
      </c>
      <c r="N535" s="18" t="s">
        <v>150</v>
      </c>
    </row>
    <row r="536" customFormat="false" ht="15" hidden="false" customHeight="false" outlineLevel="0" collapsed="false">
      <c r="A536" s="18" t="s">
        <v>1195</v>
      </c>
      <c r="B536" s="18" t="s">
        <v>1244</v>
      </c>
      <c r="C536" s="18" t="s">
        <v>194</v>
      </c>
      <c r="D536" s="18"/>
      <c r="E536" s="18" t="s">
        <v>1245</v>
      </c>
      <c r="F536" s="19" t="n">
        <v>45817</v>
      </c>
      <c r="G536" s="18" t="s">
        <v>125</v>
      </c>
      <c r="H536" s="18" t="s">
        <v>126</v>
      </c>
      <c r="I536" s="18" t="s">
        <v>126</v>
      </c>
      <c r="J536" s="18" t="s">
        <v>165</v>
      </c>
      <c r="K536" s="18" t="s">
        <v>1200</v>
      </c>
      <c r="L536" s="18" t="s">
        <v>204</v>
      </c>
      <c r="M536" s="18"/>
      <c r="N536" s="18" t="s">
        <v>283</v>
      </c>
    </row>
    <row r="537" customFormat="false" ht="15" hidden="false" customHeight="false" outlineLevel="0" collapsed="false">
      <c r="A537" s="18" t="s">
        <v>1195</v>
      </c>
      <c r="B537" s="18" t="s">
        <v>1246</v>
      </c>
      <c r="C537" s="18" t="s">
        <v>194</v>
      </c>
      <c r="D537" s="18"/>
      <c r="E537" s="18" t="s">
        <v>1247</v>
      </c>
      <c r="F537" s="19" t="n">
        <v>45817</v>
      </c>
      <c r="G537" s="18" t="s">
        <v>125</v>
      </c>
      <c r="H537" s="18" t="s">
        <v>126</v>
      </c>
      <c r="I537" s="18" t="s">
        <v>126</v>
      </c>
      <c r="J537" s="18" t="s">
        <v>165</v>
      </c>
      <c r="K537" s="18" t="s">
        <v>1200</v>
      </c>
      <c r="L537" s="18" t="s">
        <v>44</v>
      </c>
      <c r="M537" s="20" t="s">
        <v>12</v>
      </c>
      <c r="N537" s="18" t="s">
        <v>131</v>
      </c>
    </row>
    <row r="538" customFormat="false" ht="15" hidden="false" customHeight="false" outlineLevel="0" collapsed="false">
      <c r="A538" s="18" t="s">
        <v>1195</v>
      </c>
      <c r="B538" s="18" t="s">
        <v>1248</v>
      </c>
      <c r="C538" s="18" t="s">
        <v>194</v>
      </c>
      <c r="D538" s="18"/>
      <c r="E538" s="18" t="s">
        <v>174</v>
      </c>
      <c r="F538" s="19" t="n">
        <v>45817</v>
      </c>
      <c r="G538" s="18" t="s">
        <v>125</v>
      </c>
      <c r="H538" s="18" t="s">
        <v>126</v>
      </c>
      <c r="I538" s="18" t="s">
        <v>126</v>
      </c>
      <c r="J538" s="18" t="s">
        <v>165</v>
      </c>
      <c r="K538" s="18" t="s">
        <v>1200</v>
      </c>
      <c r="L538" s="18" t="s">
        <v>42</v>
      </c>
      <c r="M538" s="21" t="s">
        <v>15</v>
      </c>
      <c r="N538" s="18" t="s">
        <v>175</v>
      </c>
    </row>
    <row r="539" customFormat="false" ht="15" hidden="false" customHeight="false" outlineLevel="0" collapsed="false">
      <c r="A539" s="18" t="s">
        <v>1195</v>
      </c>
      <c r="B539" s="18" t="s">
        <v>1249</v>
      </c>
      <c r="C539" s="18" t="s">
        <v>194</v>
      </c>
      <c r="D539" s="18"/>
      <c r="E539" s="18" t="s">
        <v>257</v>
      </c>
      <c r="F539" s="19" t="n">
        <v>45817</v>
      </c>
      <c r="G539" s="18" t="s">
        <v>125</v>
      </c>
      <c r="H539" s="18" t="s">
        <v>126</v>
      </c>
      <c r="I539" s="18" t="s">
        <v>126</v>
      </c>
      <c r="J539" s="18" t="s">
        <v>165</v>
      </c>
      <c r="K539" s="18" t="s">
        <v>1200</v>
      </c>
      <c r="L539" s="18" t="s">
        <v>42</v>
      </c>
      <c r="M539" s="21" t="s">
        <v>15</v>
      </c>
      <c r="N539" s="18" t="s">
        <v>175</v>
      </c>
    </row>
    <row r="540" customFormat="false" ht="15" hidden="false" customHeight="false" outlineLevel="0" collapsed="false">
      <c r="A540" s="18" t="s">
        <v>1195</v>
      </c>
      <c r="B540" s="18" t="s">
        <v>1250</v>
      </c>
      <c r="C540" s="18" t="s">
        <v>194</v>
      </c>
      <c r="D540" s="18"/>
      <c r="E540" s="18" t="s">
        <v>304</v>
      </c>
      <c r="F540" s="19" t="n">
        <v>45817</v>
      </c>
      <c r="G540" s="18" t="s">
        <v>125</v>
      </c>
      <c r="H540" s="18" t="s">
        <v>126</v>
      </c>
      <c r="I540" s="18" t="s">
        <v>126</v>
      </c>
      <c r="J540" s="18" t="s">
        <v>165</v>
      </c>
      <c r="K540" s="18" t="s">
        <v>1200</v>
      </c>
      <c r="L540" s="18" t="s">
        <v>42</v>
      </c>
      <c r="M540" s="22" t="s">
        <v>50</v>
      </c>
      <c r="N540" s="18" t="s">
        <v>305</v>
      </c>
    </row>
    <row r="541" customFormat="false" ht="15" hidden="false" customHeight="false" outlineLevel="0" collapsed="false">
      <c r="A541" s="18" t="s">
        <v>1195</v>
      </c>
      <c r="B541" s="18" t="s">
        <v>1251</v>
      </c>
      <c r="C541" s="18" t="s">
        <v>194</v>
      </c>
      <c r="D541" s="18"/>
      <c r="E541" s="18" t="s">
        <v>307</v>
      </c>
      <c r="F541" s="19" t="n">
        <v>45817</v>
      </c>
      <c r="G541" s="18" t="s">
        <v>125</v>
      </c>
      <c r="H541" s="18" t="s">
        <v>126</v>
      </c>
      <c r="I541" s="18" t="s">
        <v>126</v>
      </c>
      <c r="J541" s="18" t="s">
        <v>165</v>
      </c>
      <c r="K541" s="18" t="s">
        <v>1200</v>
      </c>
      <c r="L541" s="18" t="s">
        <v>45</v>
      </c>
      <c r="M541" s="20" t="s">
        <v>12</v>
      </c>
      <c r="N541" s="18" t="s">
        <v>308</v>
      </c>
    </row>
    <row r="542" customFormat="false" ht="15" hidden="false" customHeight="false" outlineLevel="0" collapsed="false">
      <c r="A542" s="18" t="s">
        <v>1195</v>
      </c>
      <c r="B542" s="18" t="s">
        <v>1252</v>
      </c>
      <c r="C542" s="18" t="s">
        <v>194</v>
      </c>
      <c r="D542" s="18"/>
      <c r="E542" s="18" t="s">
        <v>282</v>
      </c>
      <c r="F542" s="19" t="n">
        <v>45817</v>
      </c>
      <c r="G542" s="18" t="s">
        <v>125</v>
      </c>
      <c r="H542" s="18" t="s">
        <v>126</v>
      </c>
      <c r="I542" s="18" t="s">
        <v>126</v>
      </c>
      <c r="J542" s="18" t="s">
        <v>165</v>
      </c>
      <c r="K542" s="18" t="s">
        <v>1200</v>
      </c>
      <c r="L542" s="18" t="s">
        <v>204</v>
      </c>
      <c r="M542" s="18"/>
      <c r="N542" s="18" t="s">
        <v>283</v>
      </c>
    </row>
    <row r="543" customFormat="false" ht="15" hidden="false" customHeight="false" outlineLevel="0" collapsed="false">
      <c r="A543" s="18" t="s">
        <v>1195</v>
      </c>
      <c r="B543" s="18" t="s">
        <v>1253</v>
      </c>
      <c r="C543" s="18" t="s">
        <v>194</v>
      </c>
      <c r="D543" s="18"/>
      <c r="E543" s="18" t="s">
        <v>417</v>
      </c>
      <c r="F543" s="19" t="n">
        <v>45817</v>
      </c>
      <c r="G543" s="18" t="s">
        <v>125</v>
      </c>
      <c r="H543" s="18" t="s">
        <v>126</v>
      </c>
      <c r="I543" s="18" t="s">
        <v>126</v>
      </c>
      <c r="J543" s="18" t="s">
        <v>165</v>
      </c>
      <c r="K543" s="18" t="s">
        <v>1200</v>
      </c>
      <c r="L543" s="18" t="s">
        <v>204</v>
      </c>
      <c r="M543" s="18"/>
      <c r="N543" s="18" t="s">
        <v>283</v>
      </c>
    </row>
    <row r="544" customFormat="false" ht="15" hidden="false" customHeight="false" outlineLevel="0" collapsed="false">
      <c r="A544" s="18" t="s">
        <v>1195</v>
      </c>
      <c r="B544" s="18" t="s">
        <v>1254</v>
      </c>
      <c r="C544" s="18" t="s">
        <v>194</v>
      </c>
      <c r="D544" s="18"/>
      <c r="E544" s="18" t="s">
        <v>237</v>
      </c>
      <c r="F544" s="19" t="n">
        <v>45817</v>
      </c>
      <c r="G544" s="18" t="s">
        <v>125</v>
      </c>
      <c r="H544" s="18" t="s">
        <v>126</v>
      </c>
      <c r="I544" s="18" t="s">
        <v>126</v>
      </c>
      <c r="J544" s="18" t="s">
        <v>165</v>
      </c>
      <c r="K544" s="18" t="s">
        <v>1200</v>
      </c>
      <c r="L544" s="18" t="s">
        <v>32</v>
      </c>
      <c r="M544" s="20" t="s">
        <v>12</v>
      </c>
      <c r="N544" s="18" t="s">
        <v>238</v>
      </c>
    </row>
    <row r="545" customFormat="false" ht="15" hidden="false" customHeight="false" outlineLevel="0" collapsed="false">
      <c r="A545" s="18" t="s">
        <v>1195</v>
      </c>
      <c r="B545" s="18" t="s">
        <v>1255</v>
      </c>
      <c r="C545" s="18" t="s">
        <v>194</v>
      </c>
      <c r="D545" s="18"/>
      <c r="E545" s="18" t="s">
        <v>421</v>
      </c>
      <c r="F545" s="19" t="n">
        <v>45817</v>
      </c>
      <c r="G545" s="18" t="s">
        <v>125</v>
      </c>
      <c r="H545" s="18" t="s">
        <v>126</v>
      </c>
      <c r="I545" s="18" t="s">
        <v>126</v>
      </c>
      <c r="J545" s="18" t="s">
        <v>165</v>
      </c>
      <c r="K545" s="18" t="s">
        <v>1200</v>
      </c>
      <c r="L545" s="18" t="s">
        <v>45</v>
      </c>
      <c r="M545" s="21" t="s">
        <v>15</v>
      </c>
      <c r="N545" s="18" t="s">
        <v>422</v>
      </c>
    </row>
    <row r="546" customFormat="false" ht="15" hidden="false" customHeight="false" outlineLevel="0" collapsed="false">
      <c r="A546" s="18" t="s">
        <v>1195</v>
      </c>
      <c r="B546" s="18" t="s">
        <v>1256</v>
      </c>
      <c r="C546" s="18" t="s">
        <v>194</v>
      </c>
      <c r="D546" s="18"/>
      <c r="E546" s="18" t="s">
        <v>1257</v>
      </c>
      <c r="F546" s="19" t="n">
        <v>45817</v>
      </c>
      <c r="G546" s="18" t="s">
        <v>125</v>
      </c>
      <c r="H546" s="18" t="s">
        <v>126</v>
      </c>
      <c r="I546" s="18" t="s">
        <v>126</v>
      </c>
      <c r="J546" s="18" t="s">
        <v>165</v>
      </c>
      <c r="K546" s="18" t="s">
        <v>1200</v>
      </c>
      <c r="L546" s="18" t="s">
        <v>167</v>
      </c>
      <c r="M546" s="18"/>
      <c r="N546" s="18" t="s">
        <v>870</v>
      </c>
    </row>
    <row r="547" customFormat="false" ht="15" hidden="false" customHeight="false" outlineLevel="0" collapsed="false">
      <c r="A547" s="18" t="s">
        <v>1195</v>
      </c>
      <c r="B547" s="18" t="s">
        <v>1258</v>
      </c>
      <c r="C547" s="18" t="s">
        <v>194</v>
      </c>
      <c r="D547" s="18"/>
      <c r="E547" s="18" t="s">
        <v>1259</v>
      </c>
      <c r="F547" s="19" t="n">
        <v>45817</v>
      </c>
      <c r="G547" s="18" t="s">
        <v>125</v>
      </c>
      <c r="H547" s="18" t="s">
        <v>126</v>
      </c>
      <c r="I547" s="18" t="s">
        <v>126</v>
      </c>
      <c r="J547" s="18" t="s">
        <v>165</v>
      </c>
      <c r="K547" s="18" t="s">
        <v>1200</v>
      </c>
      <c r="L547" s="18" t="s">
        <v>167</v>
      </c>
      <c r="M547" s="18"/>
      <c r="N547" s="18" t="s">
        <v>870</v>
      </c>
    </row>
    <row r="548" customFormat="false" ht="15" hidden="false" customHeight="false" outlineLevel="0" collapsed="false">
      <c r="A548" s="18" t="s">
        <v>1195</v>
      </c>
      <c r="B548" s="18" t="s">
        <v>1260</v>
      </c>
      <c r="C548" s="18" t="s">
        <v>194</v>
      </c>
      <c r="D548" s="18"/>
      <c r="E548" s="18" t="s">
        <v>1261</v>
      </c>
      <c r="F548" s="19" t="n">
        <v>45817</v>
      </c>
      <c r="G548" s="18" t="s">
        <v>125</v>
      </c>
      <c r="H548" s="18" t="s">
        <v>126</v>
      </c>
      <c r="I548" s="18" t="s">
        <v>126</v>
      </c>
      <c r="J548" s="18" t="s">
        <v>165</v>
      </c>
      <c r="K548" s="18" t="s">
        <v>166</v>
      </c>
      <c r="L548" s="18" t="s">
        <v>167</v>
      </c>
      <c r="M548" s="18"/>
      <c r="N548" s="18" t="s">
        <v>870</v>
      </c>
    </row>
    <row r="549" customFormat="false" ht="15" hidden="false" customHeight="false" outlineLevel="0" collapsed="false">
      <c r="A549" s="18" t="s">
        <v>1195</v>
      </c>
      <c r="B549" s="18" t="s">
        <v>1262</v>
      </c>
      <c r="C549" s="18" t="s">
        <v>194</v>
      </c>
      <c r="D549" s="18"/>
      <c r="E549" s="18" t="s">
        <v>1263</v>
      </c>
      <c r="F549" s="19" t="n">
        <v>45817</v>
      </c>
      <c r="G549" s="18" t="s">
        <v>125</v>
      </c>
      <c r="H549" s="18" t="s">
        <v>126</v>
      </c>
      <c r="I549" s="18" t="s">
        <v>126</v>
      </c>
      <c r="J549" s="18" t="s">
        <v>165</v>
      </c>
      <c r="K549" s="18" t="s">
        <v>1200</v>
      </c>
      <c r="L549" s="18" t="s">
        <v>167</v>
      </c>
      <c r="M549" s="18"/>
      <c r="N549" s="18" t="s">
        <v>870</v>
      </c>
    </row>
    <row r="550" customFormat="false" ht="15" hidden="false" customHeight="false" outlineLevel="0" collapsed="false">
      <c r="A550" s="18" t="s">
        <v>1195</v>
      </c>
      <c r="B550" s="18" t="s">
        <v>1264</v>
      </c>
      <c r="C550" s="18" t="s">
        <v>194</v>
      </c>
      <c r="D550" s="18"/>
      <c r="E550" s="18" t="s">
        <v>1265</v>
      </c>
      <c r="F550" s="19" t="n">
        <v>45817</v>
      </c>
      <c r="G550" s="18" t="s">
        <v>125</v>
      </c>
      <c r="H550" s="18" t="s">
        <v>126</v>
      </c>
      <c r="I550" s="18" t="s">
        <v>126</v>
      </c>
      <c r="J550" s="18" t="s">
        <v>165</v>
      </c>
      <c r="K550" s="18" t="s">
        <v>1200</v>
      </c>
      <c r="L550" s="18" t="s">
        <v>167</v>
      </c>
      <c r="M550" s="18"/>
      <c r="N550" s="18" t="s">
        <v>870</v>
      </c>
    </row>
    <row r="551" customFormat="false" ht="15" hidden="false" customHeight="false" outlineLevel="0" collapsed="false">
      <c r="A551" s="18" t="s">
        <v>1195</v>
      </c>
      <c r="B551" s="18" t="s">
        <v>1266</v>
      </c>
      <c r="C551" s="18" t="s">
        <v>194</v>
      </c>
      <c r="D551" s="18"/>
      <c r="E551" s="18" t="s">
        <v>1267</v>
      </c>
      <c r="F551" s="19" t="n">
        <v>45817</v>
      </c>
      <c r="G551" s="18" t="s">
        <v>125</v>
      </c>
      <c r="H551" s="18" t="s">
        <v>126</v>
      </c>
      <c r="I551" s="18" t="s">
        <v>126</v>
      </c>
      <c r="J551" s="18" t="s">
        <v>165</v>
      </c>
      <c r="K551" s="18" t="s">
        <v>1200</v>
      </c>
      <c r="L551" s="18" t="s">
        <v>167</v>
      </c>
      <c r="M551" s="18"/>
      <c r="N551" s="18" t="s">
        <v>870</v>
      </c>
    </row>
    <row r="552" customFormat="false" ht="15" hidden="false" customHeight="false" outlineLevel="0" collapsed="false">
      <c r="A552" s="18" t="s">
        <v>1195</v>
      </c>
      <c r="B552" s="18" t="s">
        <v>1268</v>
      </c>
      <c r="C552" s="18" t="s">
        <v>194</v>
      </c>
      <c r="D552" s="18"/>
      <c r="E552" s="18" t="s">
        <v>1269</v>
      </c>
      <c r="F552" s="19" t="n">
        <v>45817</v>
      </c>
      <c r="G552" s="18" t="s">
        <v>125</v>
      </c>
      <c r="H552" s="18" t="s">
        <v>126</v>
      </c>
      <c r="I552" s="18" t="s">
        <v>126</v>
      </c>
      <c r="J552" s="18" t="s">
        <v>165</v>
      </c>
      <c r="K552" s="18" t="s">
        <v>1200</v>
      </c>
      <c r="L552" s="18" t="s">
        <v>167</v>
      </c>
      <c r="M552" s="18"/>
      <c r="N552" s="18" t="s">
        <v>870</v>
      </c>
    </row>
    <row r="553" customFormat="false" ht="15" hidden="false" customHeight="false" outlineLevel="0" collapsed="false">
      <c r="A553" s="18" t="s">
        <v>1195</v>
      </c>
      <c r="B553" s="18" t="s">
        <v>1270</v>
      </c>
      <c r="C553" s="18" t="s">
        <v>194</v>
      </c>
      <c r="D553" s="18"/>
      <c r="E553" s="18" t="s">
        <v>1271</v>
      </c>
      <c r="F553" s="19" t="n">
        <v>45817</v>
      </c>
      <c r="G553" s="18" t="s">
        <v>125</v>
      </c>
      <c r="H553" s="18" t="s">
        <v>126</v>
      </c>
      <c r="I553" s="18" t="s">
        <v>126</v>
      </c>
      <c r="J553" s="18" t="s">
        <v>165</v>
      </c>
      <c r="K553" s="18" t="s">
        <v>1200</v>
      </c>
      <c r="L553" s="18" t="s">
        <v>167</v>
      </c>
      <c r="M553" s="18"/>
      <c r="N553" s="18" t="s">
        <v>870</v>
      </c>
    </row>
    <row r="554" customFormat="false" ht="15" hidden="false" customHeight="false" outlineLevel="0" collapsed="false">
      <c r="A554" s="18" t="s">
        <v>1195</v>
      </c>
      <c r="B554" s="18" t="s">
        <v>1272</v>
      </c>
      <c r="C554" s="18" t="s">
        <v>194</v>
      </c>
      <c r="D554" s="18"/>
      <c r="E554" s="18" t="s">
        <v>1273</v>
      </c>
      <c r="F554" s="19" t="n">
        <v>45817</v>
      </c>
      <c r="G554" s="18" t="s">
        <v>125</v>
      </c>
      <c r="H554" s="18" t="s">
        <v>126</v>
      </c>
      <c r="I554" s="18" t="s">
        <v>126</v>
      </c>
      <c r="J554" s="18" t="s">
        <v>165</v>
      </c>
      <c r="K554" s="18" t="s">
        <v>1200</v>
      </c>
      <c r="L554" s="18" t="s">
        <v>167</v>
      </c>
      <c r="M554" s="18"/>
      <c r="N554" s="18" t="s">
        <v>870</v>
      </c>
    </row>
    <row r="555" customFormat="false" ht="15" hidden="false" customHeight="false" outlineLevel="0" collapsed="false">
      <c r="A555" s="18" t="s">
        <v>1195</v>
      </c>
      <c r="B555" s="18" t="s">
        <v>1274</v>
      </c>
      <c r="C555" s="18" t="s">
        <v>194</v>
      </c>
      <c r="D555" s="18"/>
      <c r="E555" s="18" t="s">
        <v>1275</v>
      </c>
      <c r="F555" s="19" t="n">
        <v>45817</v>
      </c>
      <c r="G555" s="18" t="s">
        <v>125</v>
      </c>
      <c r="H555" s="18" t="s">
        <v>126</v>
      </c>
      <c r="I555" s="18" t="s">
        <v>126</v>
      </c>
      <c r="J555" s="18" t="s">
        <v>165</v>
      </c>
      <c r="K555" s="18" t="s">
        <v>1200</v>
      </c>
      <c r="L555" s="18" t="s">
        <v>89</v>
      </c>
      <c r="M555" s="20" t="s">
        <v>12</v>
      </c>
      <c r="N555" s="18" t="s">
        <v>197</v>
      </c>
    </row>
    <row r="556" customFormat="false" ht="15" hidden="false" customHeight="false" outlineLevel="0" collapsed="false">
      <c r="A556" s="18" t="s">
        <v>1195</v>
      </c>
      <c r="B556" s="18" t="s">
        <v>1276</v>
      </c>
      <c r="C556" s="18" t="s">
        <v>194</v>
      </c>
      <c r="D556" s="18"/>
      <c r="E556" s="18" t="s">
        <v>1277</v>
      </c>
      <c r="F556" s="19" t="n">
        <v>45817</v>
      </c>
      <c r="G556" s="18" t="s">
        <v>125</v>
      </c>
      <c r="H556" s="18" t="s">
        <v>126</v>
      </c>
      <c r="I556" s="18" t="s">
        <v>126</v>
      </c>
      <c r="J556" s="18" t="s">
        <v>165</v>
      </c>
      <c r="K556" s="18" t="s">
        <v>1200</v>
      </c>
      <c r="L556" s="18" t="s">
        <v>167</v>
      </c>
      <c r="M556" s="18"/>
      <c r="N556" s="18" t="s">
        <v>870</v>
      </c>
    </row>
    <row r="557" customFormat="false" ht="15" hidden="false" customHeight="false" outlineLevel="0" collapsed="false">
      <c r="A557" s="18" t="s">
        <v>1195</v>
      </c>
      <c r="B557" s="18" t="s">
        <v>1278</v>
      </c>
      <c r="C557" s="18" t="s">
        <v>194</v>
      </c>
      <c r="D557" s="18"/>
      <c r="E557" s="18" t="s">
        <v>1279</v>
      </c>
      <c r="F557" s="19" t="n">
        <v>45817</v>
      </c>
      <c r="G557" s="18" t="s">
        <v>125</v>
      </c>
      <c r="H557" s="18" t="s">
        <v>126</v>
      </c>
      <c r="I557" s="18" t="s">
        <v>126</v>
      </c>
      <c r="J557" s="18" t="s">
        <v>165</v>
      </c>
      <c r="K557" s="18" t="s">
        <v>1200</v>
      </c>
      <c r="L557" s="18" t="s">
        <v>167</v>
      </c>
      <c r="M557" s="18"/>
      <c r="N557" s="18" t="s">
        <v>870</v>
      </c>
    </row>
    <row r="558" customFormat="false" ht="15" hidden="false" customHeight="false" outlineLevel="0" collapsed="false">
      <c r="A558" s="18" t="s">
        <v>1195</v>
      </c>
      <c r="B558" s="18" t="s">
        <v>1280</v>
      </c>
      <c r="C558" s="18" t="s">
        <v>194</v>
      </c>
      <c r="D558" s="18"/>
      <c r="E558" s="18" t="s">
        <v>1281</v>
      </c>
      <c r="F558" s="19" t="n">
        <v>45817</v>
      </c>
      <c r="G558" s="18" t="s">
        <v>125</v>
      </c>
      <c r="H558" s="18" t="s">
        <v>126</v>
      </c>
      <c r="I558" s="18" t="s">
        <v>126</v>
      </c>
      <c r="J558" s="18" t="s">
        <v>165</v>
      </c>
      <c r="K558" s="18" t="s">
        <v>1200</v>
      </c>
      <c r="L558" s="18" t="s">
        <v>167</v>
      </c>
      <c r="M558" s="18"/>
      <c r="N558" s="18" t="s">
        <v>870</v>
      </c>
    </row>
    <row r="559" customFormat="false" ht="15" hidden="false" customHeight="false" outlineLevel="0" collapsed="false">
      <c r="A559" s="18" t="s">
        <v>1195</v>
      </c>
      <c r="B559" s="18" t="s">
        <v>1282</v>
      </c>
      <c r="C559" s="18" t="s">
        <v>194</v>
      </c>
      <c r="D559" s="18"/>
      <c r="E559" s="18" t="s">
        <v>1283</v>
      </c>
      <c r="F559" s="19" t="n">
        <v>45817</v>
      </c>
      <c r="G559" s="18" t="s">
        <v>125</v>
      </c>
      <c r="H559" s="18" t="s">
        <v>126</v>
      </c>
      <c r="I559" s="18" t="s">
        <v>126</v>
      </c>
      <c r="J559" s="18" t="s">
        <v>165</v>
      </c>
      <c r="K559" s="18" t="s">
        <v>1200</v>
      </c>
      <c r="L559" s="18" t="s">
        <v>171</v>
      </c>
      <c r="M559" s="18"/>
      <c r="N559" s="18" t="s">
        <v>172</v>
      </c>
    </row>
    <row r="560" customFormat="false" ht="15" hidden="false" customHeight="false" outlineLevel="0" collapsed="false">
      <c r="A560" s="18" t="s">
        <v>1195</v>
      </c>
      <c r="B560" s="18" t="s">
        <v>1284</v>
      </c>
      <c r="C560" s="18" t="s">
        <v>194</v>
      </c>
      <c r="D560" s="18"/>
      <c r="E560" s="18" t="s">
        <v>1285</v>
      </c>
      <c r="F560" s="19" t="n">
        <v>45817</v>
      </c>
      <c r="G560" s="18" t="s">
        <v>125</v>
      </c>
      <c r="H560" s="18" t="s">
        <v>126</v>
      </c>
      <c r="I560" s="18" t="s">
        <v>126</v>
      </c>
      <c r="J560" s="18" t="s">
        <v>165</v>
      </c>
      <c r="K560" s="18" t="s">
        <v>1200</v>
      </c>
      <c r="L560" s="18" t="s">
        <v>167</v>
      </c>
      <c r="M560" s="18"/>
      <c r="N560" s="18" t="s">
        <v>870</v>
      </c>
    </row>
    <row r="561" customFormat="false" ht="15" hidden="false" customHeight="false" outlineLevel="0" collapsed="false">
      <c r="A561" s="18" t="s">
        <v>1195</v>
      </c>
      <c r="B561" s="18" t="s">
        <v>1286</v>
      </c>
      <c r="C561" s="18" t="s">
        <v>194</v>
      </c>
      <c r="D561" s="18"/>
      <c r="E561" s="18" t="s">
        <v>1287</v>
      </c>
      <c r="F561" s="19" t="n">
        <v>45817</v>
      </c>
      <c r="G561" s="18" t="s">
        <v>125</v>
      </c>
      <c r="H561" s="18" t="s">
        <v>126</v>
      </c>
      <c r="I561" s="18" t="s">
        <v>126</v>
      </c>
      <c r="J561" s="18" t="s">
        <v>165</v>
      </c>
      <c r="K561" s="18" t="s">
        <v>1200</v>
      </c>
      <c r="L561" s="18" t="s">
        <v>167</v>
      </c>
      <c r="M561" s="18"/>
      <c r="N561" s="18" t="s">
        <v>870</v>
      </c>
    </row>
  </sheetData>
  <autoFilter ref="A1:N561"/>
  <dataValidations count="1">
    <dataValidation allowBlank="true" errorStyle="stop" operator="between" showDropDown="false" showErrorMessage="false" showInputMessage="false" sqref="L2:L561" type="list">
      <formula1>'Resumo BID'!$A$5:$A$58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10"/>
  </cols>
  <sheetData>
    <row r="1" customFormat="false" ht="16.15" hidden="false" customHeight="false" outlineLevel="0" collapsed="false">
      <c r="A1" s="24" t="s">
        <v>1288</v>
      </c>
    </row>
    <row r="2" customFormat="false" ht="15" hidden="false" customHeight="false" outlineLevel="0" collapsed="false">
      <c r="A2" s="25" t="s">
        <v>1289</v>
      </c>
    </row>
    <row r="4" customFormat="false" ht="30" hidden="false" customHeight="true" outlineLevel="0" collapsed="false">
      <c r="A4" s="3" t="s">
        <v>1290</v>
      </c>
      <c r="B4" s="3" t="s">
        <v>1291</v>
      </c>
      <c r="C4" s="3" t="s">
        <v>1292</v>
      </c>
      <c r="D4" s="3" t="s">
        <v>1293</v>
      </c>
    </row>
    <row r="5" customFormat="false" ht="23.85" hidden="false" customHeight="false" outlineLevel="0" collapsed="false">
      <c r="A5" s="4" t="s">
        <v>171</v>
      </c>
      <c r="B5" s="4" t="n">
        <f aca="false">COUNTIFS('Base 2025'!$L$2:$L$561,$A5,'Base 2025'!$J$2:$J$561,"Sim",'Base 2025'!$H$2:$H$561,"Sim")</f>
        <v>75</v>
      </c>
      <c r="C5" s="4" t="n">
        <f aca="false">COUNTIFS('Base 2025'!$L$2:$L$561,$A5,'Base 2025'!$J$2:$J$561,"Sim",'Base 2025'!$I$2:$I$561,"Sim")</f>
        <v>83</v>
      </c>
      <c r="D5" s="4" t="s">
        <v>1294</v>
      </c>
    </row>
    <row r="6" customFormat="false" ht="23.85" hidden="false" customHeight="false" outlineLevel="0" collapsed="false">
      <c r="A6" s="4" t="s">
        <v>210</v>
      </c>
      <c r="B6" s="4" t="n">
        <f aca="false">COUNTIFS('Base 2025'!$L$2:$L$561,$A6,'Base 2025'!$J$2:$J$561,"Sim",'Base 2025'!$H$2:$H$561,"Sim")</f>
        <v>7</v>
      </c>
      <c r="C6" s="4" t="n">
        <f aca="false">COUNTIFS('Base 2025'!$L$2:$L$561,$A6,'Base 2025'!$J$2:$J$561,"Sim",'Base 2025'!$I$2:$I$561,"Sim")</f>
        <v>8</v>
      </c>
      <c r="D6" s="4" t="s">
        <v>1295</v>
      </c>
    </row>
    <row r="7" customFormat="false" ht="23.85" hidden="false" customHeight="false" outlineLevel="0" collapsed="false">
      <c r="A7" s="4" t="s">
        <v>204</v>
      </c>
      <c r="B7" s="4" t="n">
        <f aca="false">COUNTIFS('Base 2025'!$L$2:$L$561,$A7,'Base 2025'!$J$2:$J$561,"Sim",'Base 2025'!$H$2:$H$561,"Sim")</f>
        <v>37</v>
      </c>
      <c r="C7" s="4" t="n">
        <f aca="false">COUNTIFS('Base 2025'!$L$2:$L$561,$A7,'Base 2025'!$J$2:$J$561,"Sim",'Base 2025'!$I$2:$I$561,"Sim")</f>
        <v>45</v>
      </c>
      <c r="D7" s="4" t="s">
        <v>1296</v>
      </c>
    </row>
    <row r="9" customFormat="false" ht="15" hidden="false" customHeight="false" outlineLevel="0" collapsed="false">
      <c r="A9" s="25" t="s">
        <v>1297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3" min="2" style="0" width="12"/>
  </cols>
  <sheetData>
    <row r="1" customFormat="false" ht="16.15" hidden="false" customHeight="false" outlineLevel="0" collapsed="false">
      <c r="A1" s="24" t="s">
        <v>1298</v>
      </c>
    </row>
    <row r="2" customFormat="false" ht="15" hidden="false" customHeight="false" outlineLevel="0" collapsed="false">
      <c r="A2" s="25" t="s">
        <v>1299</v>
      </c>
    </row>
    <row r="4" customFormat="false" ht="30" hidden="false" customHeight="true" outlineLevel="0" collapsed="false">
      <c r="A4" s="3" t="s">
        <v>1300</v>
      </c>
      <c r="B4" s="3" t="s">
        <v>1301</v>
      </c>
      <c r="C4" s="3" t="s">
        <v>1302</v>
      </c>
      <c r="D4" s="3" t="s">
        <v>1303</v>
      </c>
      <c r="E4" s="3" t="s">
        <v>1304</v>
      </c>
      <c r="F4" s="3" t="s">
        <v>1305</v>
      </c>
      <c r="G4" s="3" t="s">
        <v>1306</v>
      </c>
      <c r="H4" s="3" t="s">
        <v>1307</v>
      </c>
      <c r="I4" s="3" t="s">
        <v>1308</v>
      </c>
      <c r="J4" s="3" t="s">
        <v>1309</v>
      </c>
      <c r="K4" s="3" t="s">
        <v>1310</v>
      </c>
      <c r="L4" s="3" t="s">
        <v>1311</v>
      </c>
    </row>
    <row r="5" customFormat="false" ht="15" hidden="false" customHeight="false" outlineLevel="0" collapsed="false">
      <c r="A5" s="26" t="s">
        <v>1312</v>
      </c>
      <c r="B5" s="26" t="n">
        <v>5</v>
      </c>
      <c r="C5" s="26" t="n">
        <v>7</v>
      </c>
      <c r="D5" s="26" t="n">
        <v>9</v>
      </c>
      <c r="E5" s="26" t="n">
        <v>6</v>
      </c>
      <c r="F5" s="26" t="n">
        <v>8</v>
      </c>
      <c r="G5" s="26" t="n">
        <v>4</v>
      </c>
      <c r="H5" s="26" t="n">
        <v>5</v>
      </c>
      <c r="I5" s="26" t="n">
        <v>4</v>
      </c>
      <c r="J5" s="26" t="n">
        <v>7</v>
      </c>
      <c r="K5" s="26" t="n">
        <v>55</v>
      </c>
      <c r="L5" s="26" t="n">
        <f aca="false">ROUND(K5*12/9,0)</f>
        <v>73</v>
      </c>
    </row>
    <row r="6" customFormat="false" ht="15" hidden="false" customHeight="false" outlineLevel="0" collapsed="false">
      <c r="A6" s="26" t="s">
        <v>1313</v>
      </c>
      <c r="B6" s="26" t="n">
        <v>3</v>
      </c>
      <c r="C6" s="26" t="n">
        <v>2</v>
      </c>
      <c r="D6" s="26" t="n">
        <v>3</v>
      </c>
      <c r="E6" s="26" t="n">
        <v>5</v>
      </c>
      <c r="F6" s="26" t="n">
        <v>7</v>
      </c>
      <c r="G6" s="26" t="n">
        <v>5</v>
      </c>
      <c r="H6" s="26" t="n">
        <v>3</v>
      </c>
      <c r="I6" s="26" t="n">
        <v>19</v>
      </c>
      <c r="J6" s="26" t="n">
        <v>4</v>
      </c>
      <c r="K6" s="26" t="n">
        <v>51</v>
      </c>
      <c r="L6" s="26" t="n">
        <f aca="false">ROUND(K6*12/9,0)</f>
        <v>68</v>
      </c>
    </row>
    <row r="7" customFormat="false" ht="15" hidden="false" customHeight="false" outlineLevel="0" collapsed="false">
      <c r="A7" s="26" t="s">
        <v>1314</v>
      </c>
      <c r="B7" s="26" t="n">
        <v>0</v>
      </c>
      <c r="C7" s="26" t="n">
        <v>4</v>
      </c>
      <c r="D7" s="26" t="n">
        <v>7</v>
      </c>
      <c r="E7" s="26" t="n">
        <v>7</v>
      </c>
      <c r="F7" s="26" t="n">
        <v>3</v>
      </c>
      <c r="G7" s="26" t="n">
        <v>6</v>
      </c>
      <c r="H7" s="26" t="n">
        <v>4</v>
      </c>
      <c r="I7" s="26" t="n">
        <v>8</v>
      </c>
      <c r="J7" s="26" t="n">
        <v>3</v>
      </c>
      <c r="K7" s="26" t="n">
        <v>42</v>
      </c>
      <c r="L7" s="26" t="n">
        <f aca="false">ROUND(K7*12/9,0)</f>
        <v>56</v>
      </c>
    </row>
    <row r="8" customFormat="false" ht="15" hidden="false" customHeight="false" outlineLevel="0" collapsed="false">
      <c r="A8" s="26" t="s">
        <v>1315</v>
      </c>
      <c r="B8" s="26" t="n">
        <v>0</v>
      </c>
      <c r="C8" s="26" t="n">
        <v>1</v>
      </c>
      <c r="D8" s="26" t="n">
        <v>2</v>
      </c>
      <c r="E8" s="26" t="n">
        <v>0</v>
      </c>
      <c r="F8" s="26" t="n">
        <v>0</v>
      </c>
      <c r="G8" s="26" t="n">
        <v>2</v>
      </c>
      <c r="H8" s="26" t="n">
        <v>1</v>
      </c>
      <c r="I8" s="26" t="n">
        <v>1</v>
      </c>
      <c r="J8" s="26" t="n">
        <v>0</v>
      </c>
      <c r="K8" s="26" t="n">
        <v>7</v>
      </c>
      <c r="L8" s="26" t="n">
        <f aca="false">ROUND(K8*12/9,0)</f>
        <v>9</v>
      </c>
    </row>
    <row r="9" customFormat="false" ht="15" hidden="false" customHeight="false" outlineLevel="0" collapsed="false">
      <c r="A9" s="26" t="s">
        <v>1316</v>
      </c>
      <c r="B9" s="26" t="n">
        <v>1</v>
      </c>
      <c r="C9" s="26" t="n">
        <v>1</v>
      </c>
      <c r="D9" s="26" t="n">
        <v>2</v>
      </c>
      <c r="E9" s="26" t="n">
        <v>2</v>
      </c>
      <c r="F9" s="26" t="n">
        <v>0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6</v>
      </c>
      <c r="L9" s="26" t="n">
        <f aca="false">ROUND(K9*12/9,0)</f>
        <v>8</v>
      </c>
    </row>
    <row r="10" customFormat="false" ht="15" hidden="false" customHeight="false" outlineLevel="0" collapsed="false">
      <c r="A10" s="26" t="s">
        <v>1317</v>
      </c>
      <c r="B10" s="26" t="n">
        <v>1</v>
      </c>
      <c r="C10" s="26" t="n">
        <v>0</v>
      </c>
      <c r="D10" s="26" t="n">
        <v>0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1</v>
      </c>
      <c r="L10" s="26" t="n">
        <f aca="false">ROUND(K10*12/9,0)</f>
        <v>1</v>
      </c>
    </row>
    <row r="11" customFormat="false" ht="15" hidden="false" customHeight="false" outlineLevel="0" collapsed="false">
      <c r="A11" s="26" t="s">
        <v>1318</v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1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1</v>
      </c>
      <c r="L11" s="26" t="n">
        <f aca="false">ROUND(K11*12/9,0)</f>
        <v>1</v>
      </c>
    </row>
    <row r="12" customFormat="false" ht="15" hidden="false" customHeight="false" outlineLevel="0" collapsed="false">
      <c r="A12" s="26" t="s">
        <v>1319</v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1</v>
      </c>
      <c r="K12" s="26" t="n">
        <v>1</v>
      </c>
      <c r="L12" s="26" t="n">
        <f aca="false">ROUND(K12*12/9,0)</f>
        <v>1</v>
      </c>
    </row>
    <row r="13" customFormat="false" ht="15" hidden="false" customHeight="false" outlineLevel="0" collapsed="false">
      <c r="A13" s="26" t="s">
        <v>1320</v>
      </c>
      <c r="B13" s="26" t="n">
        <v>0</v>
      </c>
      <c r="C13" s="26" t="n">
        <v>0</v>
      </c>
      <c r="D13" s="26" t="n">
        <v>1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1</v>
      </c>
      <c r="L13" s="26" t="n">
        <f aca="false">ROUND(K13*12/9,0)</f>
        <v>1</v>
      </c>
    </row>
    <row r="14" customFormat="false" ht="15" hidden="false" customHeight="false" outlineLevel="0" collapsed="false">
      <c r="A14" s="26" t="s">
        <v>1321</v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</v>
      </c>
      <c r="J14" s="26" t="n">
        <v>0</v>
      </c>
      <c r="K14" s="26" t="n">
        <v>1</v>
      </c>
      <c r="L14" s="26" t="n">
        <f aca="false">ROUND(K14*12/9,0)</f>
        <v>1</v>
      </c>
    </row>
    <row r="15" customFormat="false" ht="15" hidden="false" customHeight="false" outlineLevel="0" collapsed="false">
      <c r="A15" s="26" t="s">
        <v>1322</v>
      </c>
      <c r="B15" s="26" t="n">
        <v>0</v>
      </c>
      <c r="C15" s="26" t="n">
        <v>1</v>
      </c>
      <c r="D15" s="26" t="n">
        <v>0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1</v>
      </c>
      <c r="L15" s="26" t="n">
        <f aca="false">ROUND(K15*12/9,0)</f>
        <v>1</v>
      </c>
    </row>
    <row r="16" customFormat="false" ht="15" hidden="false" customHeight="false" outlineLevel="0" collapsed="false">
      <c r="A16" s="26" t="s">
        <v>1323</v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1</v>
      </c>
      <c r="K16" s="26" t="n">
        <v>1</v>
      </c>
      <c r="L16" s="26" t="n">
        <f aca="false">ROUND(K16*12/9,0)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0"/>
  </cols>
  <sheetData>
    <row r="1" customFormat="false" ht="30" hidden="false" customHeight="true" outlineLevel="0" collapsed="false">
      <c r="A1" s="27" t="s">
        <v>1324</v>
      </c>
      <c r="B1" s="28" t="s">
        <v>1325</v>
      </c>
    </row>
    <row r="2" customFormat="false" ht="45" hidden="false" customHeight="true" outlineLevel="0" collapsed="false">
      <c r="A2" s="27" t="s">
        <v>1326</v>
      </c>
      <c r="B2" s="28" t="s">
        <v>1327</v>
      </c>
    </row>
    <row r="3" customFormat="false" ht="45" hidden="false" customHeight="true" outlineLevel="0" collapsed="false">
      <c r="A3" s="27" t="s">
        <v>1328</v>
      </c>
      <c r="B3" s="28" t="s">
        <v>1329</v>
      </c>
    </row>
    <row r="4" customFormat="false" ht="45" hidden="false" customHeight="true" outlineLevel="0" collapsed="false">
      <c r="A4" s="27" t="s">
        <v>1330</v>
      </c>
      <c r="B4" s="28" t="s">
        <v>1331</v>
      </c>
    </row>
    <row r="5" customFormat="false" ht="30" hidden="false" customHeight="true" outlineLevel="0" collapsed="false">
      <c r="A5" s="27" t="s">
        <v>112</v>
      </c>
      <c r="B5" s="28" t="s">
        <v>1332</v>
      </c>
    </row>
    <row r="6" customFormat="false" ht="45" hidden="false" customHeight="true" outlineLevel="0" collapsed="false">
      <c r="A6" s="27" t="s">
        <v>1333</v>
      </c>
      <c r="B6" s="28" t="s">
        <v>1334</v>
      </c>
    </row>
    <row r="7" customFormat="false" ht="60" hidden="false" customHeight="true" outlineLevel="0" collapsed="false">
      <c r="A7" s="27" t="s">
        <v>1335</v>
      </c>
      <c r="B7" s="28" t="s">
        <v>1336</v>
      </c>
    </row>
    <row r="8" customFormat="false" ht="30" hidden="false" customHeight="true" outlineLevel="0" collapsed="false">
      <c r="A8" s="27" t="s">
        <v>1337</v>
      </c>
      <c r="B8" s="28" t="s">
        <v>1338</v>
      </c>
    </row>
    <row r="9" customFormat="false" ht="45" hidden="false" customHeight="true" outlineLevel="0" collapsed="false">
      <c r="A9" s="27" t="s">
        <v>1339</v>
      </c>
      <c r="B9" s="28" t="s">
        <v>1340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2026-10-13T19:20:19Z</dcterms:created>
  <dc:creator>openpyxl</dc:creator>
  <dc:description/>
  <dc:language>en-US</dc:language>
  <cp:lastModifiedBy/>
  <dcterms:modified xsi:type="dcterms:W3CDTF">2026-10-13T19:20:19Z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