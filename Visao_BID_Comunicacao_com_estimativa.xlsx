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Participação" sheetId="1" state="visible" r:id="rId3"/>
    <sheet name="Publicidade" sheetId="2" state="visible" r:id="rId4"/>
    <sheet name="Conteúdo Institucional" sheetId="3" state="visible" r:id="rId5"/>
    <sheet name="Comunicação Digit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7" authorId="0">
      <text>
        <r>
          <rPr>
            <sz val="10"/>
            <rFont val="Arial"/>
            <family val="2"/>
          </rPr>
          <t xml:space="preserve">Houve 1 manual de marca em 2025, mas o Monday não registra nº de lâminas; lançado 0. Ajustar.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16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  <comment ref="Q52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  <comment ref="Q53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7" authorId="0">
      <text>
        <r>
          <rPr>
            <sz val="10"/>
            <rFont val="Arial"/>
            <family val="2"/>
          </rPr>
          <t xml:space="preserve">Houve 1 manual de marca em 2025, mas o Monday não registra nº de lâminas; lançado 0. Ajustar.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33</xdr:colOff>
                <xdr:row>1</xdr:row>
                <xdr:rowOff>-1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33</xdr:colOff>
                <xdr:row>1</xdr:row>
                <xdr:rowOff>-4</xdr:rowOff>
              </xdr:to>
            </anchor>
          </commentPr>
        </mc:Choice>
        <mc:Fallback/>
      </mc:AlternateContent>
    </comment>
    <comment ref="Q52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33</xdr:colOff>
                <xdr:row>1</xdr:row>
                <xdr:rowOff>-4</xdr:rowOff>
              </xdr:to>
            </anchor>
          </commentPr>
        </mc:Choice>
        <mc:Fallback/>
      </mc:AlternateContent>
    </comment>
    <comment ref="Q53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33</xdr:colOff>
                <xdr:row>1</xdr:row>
                <xdr:rowOff>-4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7" authorId="0">
      <text>
        <r>
          <rPr>
            <sz val="10"/>
            <rFont val="Arial"/>
            <family val="2"/>
          </rPr>
          <t xml:space="preserve">Houve 1 manual de marca em 2025, mas o Monday não registra nº de lâminas; lançado 0. Ajustar.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16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  <comment ref="Q52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  <comment ref="Q53" authorId="0">
      <text>
        <r>
          <rPr>
            <sz val="10"/>
            <rFont val="Arial"/>
            <family val="2"/>
          </rPr>
          <t xml:space="preserve">Monday não registra horas; lançado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-176</xdr:colOff>
                <xdr:row>1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<sst xmlns="http://schemas.openxmlformats.org/spreadsheetml/2006/main" count="381" uniqueCount="90">
  <si>
    <t xml:space="preserve">Fornecedores</t>
  </si>
  <si>
    <t xml:space="preserve">Publicidade</t>
  </si>
  <si>
    <t xml:space="preserve">Conteúdo</t>
  </si>
  <si>
    <t xml:space="preserve">Comunicação</t>
  </si>
  <si>
    <t xml:space="preserve">Nº participações</t>
  </si>
  <si>
    <t xml:space="preserve">Aproach</t>
  </si>
  <si>
    <t xml:space="preserve">Cotou</t>
  </si>
  <si>
    <t xml:space="preserve">Artplan</t>
  </si>
  <si>
    <t xml:space="preserve">Não enviou proposta</t>
  </si>
  <si>
    <t xml:space="preserve">Atake - 360 Propaganda</t>
  </si>
  <si>
    <t xml:space="preserve">Edelman</t>
  </si>
  <si>
    <t xml:space="preserve">Imagem </t>
  </si>
  <si>
    <t xml:space="preserve">Intra</t>
  </si>
  <si>
    <t xml:space="preserve">JG</t>
  </si>
  <si>
    <t xml:space="preserve">Komuth</t>
  </si>
  <si>
    <t xml:space="preserve">Lapis Raro</t>
  </si>
  <si>
    <t xml:space="preserve">Declinou</t>
  </si>
  <si>
    <t xml:space="preserve">Máquina</t>
  </si>
  <si>
    <t xml:space="preserve">New Publicidade</t>
  </si>
  <si>
    <t xml:space="preserve">Quintal 22</t>
  </si>
  <si>
    <t xml:space="preserve">Smart</t>
  </si>
  <si>
    <t xml:space="preserve">Talent</t>
  </si>
  <si>
    <t xml:space="preserve">Serviço</t>
  </si>
  <si>
    <t xml:space="preserve">Preço RC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</si>
  <si>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</si>
  <si>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</si>
  <si>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</si>
  <si>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</si>
  <si>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</si>
  <si>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Menor Preço</t>
  </si>
  <si>
    <t xml:space="preserve">Fornecedor Menor Preço</t>
  </si>
  <si>
    <t xml:space="preserve">Qtd anual estimada (base 2025)</t>
  </si>
  <si>
    <t xml:space="preserve">Criação de post / card estático (texto e imagem)</t>
  </si>
  <si>
    <t xml:space="preserve">Criação de post / card carrossel / multiproduto</t>
  </si>
  <si>
    <t xml:space="preserve">Criação de post com animação 2D</t>
  </si>
  <si>
    <t xml:space="preserve">Criação de thumbnail para vídeo</t>
  </si>
  <si>
    <t xml:space="preserve">Criação de post para blog (texto + imagem)</t>
  </si>
  <si>
    <t xml:space="preserve">Produção de texto livre (1.200 toques)</t>
  </si>
  <si>
    <t xml:space="preserve">Branded content / publieditorial</t>
  </si>
  <si>
    <t xml:space="preserve">Criação de identidade visual (key visual)</t>
  </si>
  <si>
    <t xml:space="preserve">Criação de tema / conceito de campanha</t>
  </si>
  <si>
    <t xml:space="preserve">Slogan</t>
  </si>
  <si>
    <t xml:space="preserve">Moodboard</t>
  </si>
  <si>
    <t xml:space="preserve">Planejamento de comunicação integrada</t>
  </si>
  <si>
    <t xml:space="preserve">Planejamento de campanha</t>
  </si>
  <si>
    <t xml:space="preserve">Planejamento de mídia</t>
  </si>
  <si>
    <t xml:space="preserve">Planejamento de ação promocional</t>
  </si>
  <si>
    <t xml:space="preserve">Planejamento de eventos / feiras</t>
  </si>
  <si>
    <t xml:space="preserve">Planejamento de brindes</t>
  </si>
  <si>
    <t xml:space="preserve">Planejamento para redes sociais</t>
  </si>
  <si>
    <t xml:space="preserve">Diagnóstico da presença digital</t>
  </si>
  <si>
    <t xml:space="preserve">Análise estratégica de dados</t>
  </si>
  <si>
    <t xml:space="preserve">Relatório de campanha</t>
  </si>
  <si>
    <t xml:space="preserve">Monitoramento e relatório mensal</t>
  </si>
  <si>
    <t xml:space="preserve">Banner / cartaz / pôster (criação)</t>
  </si>
  <si>
    <t xml:space="preserve">Flyer / volante (criação)</t>
  </si>
  <si>
    <t xml:space="preserve">Folder (criação)</t>
  </si>
  <si>
    <t xml:space="preserve">Mala direta</t>
  </si>
  <si>
    <t xml:space="preserve">Email marketing (imagem)</t>
  </si>
  <si>
    <t xml:space="preserve">Infográfico (JPG / HTML)</t>
  </si>
  <si>
    <t xml:space="preserve">Tabelas / gráficos</t>
  </si>
  <si>
    <t xml:space="preserve">Apresentação multimídia (projeto gráfico)</t>
  </si>
  <si>
    <t xml:space="preserve">Apresentação multimídia (slide adicional)</t>
  </si>
  <si>
    <t xml:space="preserve">Landing page</t>
  </si>
  <si>
    <t xml:space="preserve">Hotsite (baixa complexidade)</t>
  </si>
  <si>
    <t xml:space="preserve">Hotsite (média complexidade)</t>
  </si>
  <si>
    <t xml:space="preserve">Roteiro para vídeo até 60”</t>
  </si>
  <si>
    <t xml:space="preserve">Roteiro para vídeo acima de 60”</t>
  </si>
  <si>
    <t xml:space="preserve">Vídeo institucional até 5 minutos</t>
  </si>
  <si>
    <t xml:space="preserve">Filme / VT até 60”</t>
  </si>
  <si>
    <t xml:space="preserve">Filme / VT acima de 60”</t>
  </si>
  <si>
    <t xml:space="preserve">Vinheta eletrônica</t>
  </si>
  <si>
    <t xml:space="preserve">Banner animado / vídeo digital</t>
  </si>
  <si>
    <t xml:space="preserve">Motion design (peças digitais)</t>
  </si>
  <si>
    <t xml:space="preserve">Projeto de branding</t>
  </si>
  <si>
    <t xml:space="preserve">Marca / logotipo</t>
  </si>
  <si>
    <t xml:space="preserve">Nome de marca</t>
  </si>
  <si>
    <t xml:space="preserve">Manual de identidade visual (por lâmina)</t>
  </si>
  <si>
    <t xml:space="preserve">Programação visual de estande (conceito)</t>
  </si>
  <si>
    <t xml:space="preserve">Projeto de sinalização (conceito)</t>
  </si>
  <si>
    <t xml:space="preserve">Outdoor / mídia exterior (criação)</t>
  </si>
  <si>
    <t xml:space="preserve">Consultoria – diretor (hora)</t>
  </si>
  <si>
    <t xml:space="preserve">Gerente / supervisor (hora)</t>
  </si>
  <si>
    <t xml:space="preserve">Analista / assistente (hora)</t>
  </si>
  <si>
    <t xml:space="preserve">Pesquisa em banco de imagem / vídeo</t>
  </si>
  <si>
    <t xml:space="preserve">Fee mensal</t>
  </si>
  <si>
    <t xml:space="preserve">TOTAL</t>
  </si>
  <si>
    <t xml:space="preserve">Qtd anual estimada (TOTAL)</t>
  </si>
  <si>
    <t xml:space="preserve">Base Monday (jobs 2025)</t>
  </si>
  <si>
    <t xml:space="preserve">+ Calendário canais internos 2025 (jan–dez)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</si>
</sst>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R$ &quot;* #,##0.00_-;&quot;-R$ &quot;* #,##0.00_-;_-&quot;R$ &quot;* \-??_-;_-@_-"/>
    <numFmt numFmtId="166" formatCode="General"/>
    <numFmt numFmtId="167" formatCode="#,##0.00_ ;\-#,##0.00\ "/>
    <numFmt numFmtId="168" formatCode="0%"/>
    <numFmt numFmtId="169" formatCode="0"/>
    <numFmt numFmtId="170" formatCode="#,##0.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5"/>
        <bgColor rgb="FFD1D1D1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4EA72E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9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theme="0" tint="-0.05"/>
        <bgColor rgb="FFFFFFFF"/>
      </patternFill>
    </fill>
    <fill>
      <patternFill patternType="solid">
        <fgColor theme="4" tint="0.7999"/>
        <bgColor rgb="FFD9D9D9"/>
      </patternFill>
    </fill>
    <fill>
      <patternFill patternType="solid">
        <fgColor theme="2" tint="-0.1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thin"/>
      <right/>
      <top/>
      <bottom style="thin"/>
      <diagonal/>
    </border>
    <border diagonalUp="false" diagonalDown="false">
      <left style="dotted"/>
      <right style="dotted"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1E5F5"/>
      <rgbColor rgb="FF660066"/>
      <rgbColor rgb="FFFF8080"/>
      <rgbColor rgb="FF0070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4" min="2" style="0" width="18"/>
    <col collapsed="false" customWidth="true" hidden="false" outlineLevel="0" max="5" min="5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6</v>
      </c>
      <c r="D2" s="3" t="s">
        <v>6</v>
      </c>
      <c r="E2" s="4" t="n">
        <f aca="false">COUNTIF(B2:D2,"Cotou")</f>
        <v>3</v>
      </c>
    </row>
    <row r="3" customFormat="false" ht="15" hidden="false" customHeight="false" outlineLevel="0" collapsed="false">
      <c r="A3" s="2" t="s">
        <v>7</v>
      </c>
      <c r="B3" s="5" t="s">
        <v>8</v>
      </c>
      <c r="C3" s="5" t="s">
        <v>8</v>
      </c>
      <c r="D3" s="5" t="s">
        <v>8</v>
      </c>
      <c r="E3" s="6" t="n">
        <f aca="false">COUNTIF(B3:D3,"Cotou")</f>
        <v>0</v>
      </c>
    </row>
    <row r="4" customFormat="false" ht="15" hidden="false" customHeight="false" outlineLevel="0" collapsed="false">
      <c r="A4" s="2" t="s">
        <v>9</v>
      </c>
      <c r="B4" s="3" t="s">
        <v>6</v>
      </c>
      <c r="C4" s="5" t="s">
        <v>8</v>
      </c>
      <c r="D4" s="3" t="s">
        <v>6</v>
      </c>
      <c r="E4" s="7" t="n">
        <f aca="false">COUNTIF(B4:D4,"Cotou")</f>
        <v>2</v>
      </c>
    </row>
    <row r="5" customFormat="false" ht="15" hidden="false" customHeight="false" outlineLevel="0" collapsed="false">
      <c r="A5" s="2" t="s">
        <v>10</v>
      </c>
      <c r="B5" s="5" t="s">
        <v>8</v>
      </c>
      <c r="C5" s="5" t="s">
        <v>8</v>
      </c>
      <c r="D5" s="5" t="s">
        <v>8</v>
      </c>
      <c r="E5" s="6" t="n">
        <f aca="false">COUNTIF(B5:D5,"Cotou")</f>
        <v>0</v>
      </c>
    </row>
    <row r="6" customFormat="false" ht="15" hidden="false" customHeight="false" outlineLevel="0" collapsed="false">
      <c r="A6" s="2" t="s">
        <v>11</v>
      </c>
      <c r="B6" s="3" t="s">
        <v>6</v>
      </c>
      <c r="C6" s="3" t="s">
        <v>6</v>
      </c>
      <c r="D6" s="3" t="s">
        <v>6</v>
      </c>
      <c r="E6" s="4" t="n">
        <f aca="false">COUNTIF(B6:D6,"Cotou")</f>
        <v>3</v>
      </c>
    </row>
    <row r="7" customFormat="false" ht="15" hidden="false" customHeight="false" outlineLevel="0" collapsed="false">
      <c r="A7" s="2" t="s">
        <v>12</v>
      </c>
      <c r="B7" s="5" t="s">
        <v>8</v>
      </c>
      <c r="C7" s="3" t="s">
        <v>6</v>
      </c>
      <c r="D7" s="5" t="s">
        <v>8</v>
      </c>
      <c r="E7" s="8" t="n">
        <f aca="false">COUNTIF(B7:D7,"Cotou")</f>
        <v>1</v>
      </c>
    </row>
    <row r="8" customFormat="false" ht="15" hidden="false" customHeight="false" outlineLevel="0" collapsed="false">
      <c r="A8" s="2" t="s">
        <v>13</v>
      </c>
      <c r="B8" s="3" t="s">
        <v>6</v>
      </c>
      <c r="C8" s="3" t="s">
        <v>6</v>
      </c>
      <c r="D8" s="3" t="s">
        <v>6</v>
      </c>
      <c r="E8" s="4" t="n">
        <f aca="false">COUNTIF(B8:D8,"Cotou")</f>
        <v>3</v>
      </c>
    </row>
    <row r="9" customFormat="false" ht="15" hidden="false" customHeight="false" outlineLevel="0" collapsed="false">
      <c r="A9" s="2" t="s">
        <v>14</v>
      </c>
      <c r="B9" s="3" t="s">
        <v>6</v>
      </c>
      <c r="C9" s="3" t="s">
        <v>6</v>
      </c>
      <c r="D9" s="3" t="s">
        <v>6</v>
      </c>
      <c r="E9" s="4" t="n">
        <f aca="false">COUNTIF(B9:D9,"Cotou")</f>
        <v>3</v>
      </c>
    </row>
    <row r="10" customFormat="false" ht="15" hidden="false" customHeight="false" outlineLevel="0" collapsed="false">
      <c r="A10" s="2" t="s">
        <v>15</v>
      </c>
      <c r="B10" s="9" t="s">
        <v>16</v>
      </c>
      <c r="C10" s="9" t="s">
        <v>16</v>
      </c>
      <c r="D10" s="5" t="s">
        <v>8</v>
      </c>
      <c r="E10" s="6" t="n">
        <f aca="false">COUNTIF(B10:D10,"Cotou")</f>
        <v>0</v>
      </c>
    </row>
    <row r="11" customFormat="false" ht="15" hidden="false" customHeight="false" outlineLevel="0" collapsed="false">
      <c r="A11" s="2" t="s">
        <v>17</v>
      </c>
      <c r="B11" s="3" t="s">
        <v>6</v>
      </c>
      <c r="C11" s="5" t="s">
        <v>8</v>
      </c>
      <c r="D11" s="3" t="s">
        <v>6</v>
      </c>
      <c r="E11" s="7" t="n">
        <f aca="false">COUNTIF(B11:D11,"Cotou")</f>
        <v>2</v>
      </c>
    </row>
    <row r="12" customFormat="false" ht="15" hidden="false" customHeight="false" outlineLevel="0" collapsed="false">
      <c r="A12" s="2" t="s">
        <v>18</v>
      </c>
      <c r="B12" s="5" t="s">
        <v>8</v>
      </c>
      <c r="C12" s="5" t="s">
        <v>8</v>
      </c>
      <c r="D12" s="5" t="s">
        <v>8</v>
      </c>
      <c r="E12" s="6" t="n">
        <f aca="false">COUNTIF(B12:D12,"Cotou")</f>
        <v>0</v>
      </c>
    </row>
    <row r="13" customFormat="false" ht="15" hidden="false" customHeight="false" outlineLevel="0" collapsed="false">
      <c r="A13" s="2" t="s">
        <v>19</v>
      </c>
      <c r="B13" s="3" t="s">
        <v>6</v>
      </c>
      <c r="C13" s="3" t="s">
        <v>6</v>
      </c>
      <c r="D13" s="5" t="s">
        <v>8</v>
      </c>
      <c r="E13" s="7" t="n">
        <f aca="false">COUNTIF(B13:D13,"Cotou")</f>
        <v>2</v>
      </c>
    </row>
    <row r="14" customFormat="false" ht="15" hidden="false" customHeight="false" outlineLevel="0" collapsed="false">
      <c r="A14" s="2" t="s">
        <v>20</v>
      </c>
      <c r="B14" s="3" t="s">
        <v>6</v>
      </c>
      <c r="C14" s="3" t="s">
        <v>6</v>
      </c>
      <c r="D14" s="3" t="s">
        <v>6</v>
      </c>
      <c r="E14" s="4" t="n">
        <f aca="false">COUNTIF(B14:D14,"Cotou")</f>
        <v>3</v>
      </c>
    </row>
    <row r="15" customFormat="false" ht="15" hidden="false" customHeight="false" outlineLevel="0" collapsed="false">
      <c r="A15" s="2" t="s">
        <v>21</v>
      </c>
      <c r="B15" s="5" t="s">
        <v>8</v>
      </c>
      <c r="C15" s="5" t="s">
        <v>8</v>
      </c>
      <c r="D15" s="5" t="s">
        <v>8</v>
      </c>
      <c r="E15" s="6" t="n">
        <f aca="false">COUNTIF(B15:D15,"Cotou")</f>
        <v>0</v>
      </c>
    </row>
  </sheetData>
  <conditionalFormatting sqref="B2:D15">
    <cfRule type="dataBar" priority="2">
      <dataBar showValue="1" minLength="10" maxLength="90"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{FE7DD978-702A-4285-B52F-F421EC7D998E}</x14:id>
        </ext>
      </extLst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7DD978-702A-4285-B52F-F421EC7D998E}">
            <x14:dataBar minLength="10" maxLength="90" axisPosition="none" gradient="true">
              <x14:cfvo type="min"/>
              <x14:cfvo type="max"/>
              <x14:negativeFillColor rgb="FFFF555A"/>
              <x14:axisColor rgb="FF000000"/>
            </x14:dataBar>
          </x14:cfRule>
          <xm:sqref>B2:D15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42.14"/>
    <col collapsed="false" customWidth="true" hidden="false" outlineLevel="0" max="2" min="2" style="0" width="12.14"/>
    <col collapsed="false" customWidth="true" hidden="false" outlineLevel="0" max="7" min="3" style="0" width="11.14"/>
    <col collapsed="false" customWidth="true" hidden="false" outlineLevel="0" max="8" min="8" style="0" width="2.42"/>
    <col collapsed="false" customWidth="true" hidden="false" outlineLevel="0" max="9" min="9" style="0" width="11.42"/>
    <col collapsed="false" customWidth="true" hidden="false" outlineLevel="0" max="10" min="10" style="0" width="13.42"/>
    <col collapsed="false" customWidth="true" hidden="false" outlineLevel="0" max="11" min="11" style="0" width="2.42"/>
    <col collapsed="false" customWidth="true" hidden="false" outlineLevel="0" max="16" min="12" style="0" width="10.85"/>
    <col collapsed="false" customWidth="true" hidden="false" outlineLevel="0" max="17" min="17" style="0" width="16"/>
  </cols>
  <sheetData>
    <row r="1" customFormat="false" ht="51" hidden="false" customHeight="tru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1"/>
      <c r="I1" s="12" t="s">
        <v>29</v>
      </c>
      <c r="J1" s="13" t="s">
        <v>30</v>
      </c>
      <c r="K1" s="11"/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31</v>
      </c>
    </row>
    <row r="2" customFormat="false" ht="15" hidden="false" customHeight="false" outlineLevel="0" collapsed="false">
      <c r="A2" s="14" t="s">
        <v>32</v>
      </c>
      <c r="B2" s="15" t="n">
        <v>4364</v>
      </c>
      <c r="C2" s="15" t="n">
        <v>1288</v>
      </c>
      <c r="D2" s="15" t="n">
        <v>1619.1</v>
      </c>
      <c r="E2" s="15" t="n">
        <v>2837</v>
      </c>
      <c r="F2" s="15" t="n">
        <v>3500</v>
      </c>
      <c r="G2" s="15" t="n">
        <v>2462</v>
      </c>
      <c r="H2" s="16"/>
      <c r="I2" s="17" t="n">
        <v>1288</v>
      </c>
      <c r="J2" s="18" t="s">
        <v>24</v>
      </c>
      <c r="K2" s="19"/>
      <c r="L2" s="20" t="n">
        <v>-0.704857928505958</v>
      </c>
      <c r="M2" s="20" t="n">
        <v>-0.628987167736022</v>
      </c>
      <c r="N2" s="20" t="n">
        <v>-0.349908340971586</v>
      </c>
      <c r="O2" s="20" t="n">
        <v>-0.197983501374885</v>
      </c>
      <c r="P2" s="20" t="n">
        <v>-0.435838680109991</v>
      </c>
      <c r="Q2" s="21" t="n">
        <v>120</v>
      </c>
    </row>
    <row r="3" customFormat="false" ht="15" hidden="false" customHeight="false" outlineLevel="0" collapsed="false">
      <c r="A3" s="14" t="s">
        <v>33</v>
      </c>
      <c r="B3" s="15" t="n">
        <v>5866</v>
      </c>
      <c r="C3" s="15" t="n">
        <v>1656</v>
      </c>
      <c r="D3" s="15" t="n">
        <v>2176.3</v>
      </c>
      <c r="E3" s="15" t="n">
        <v>3813</v>
      </c>
      <c r="F3" s="15" t="n">
        <v>4500</v>
      </c>
      <c r="G3" s="15" t="n">
        <v>3162</v>
      </c>
      <c r="H3" s="16"/>
      <c r="I3" s="17" t="n">
        <v>1656</v>
      </c>
      <c r="J3" s="18" t="s">
        <v>24</v>
      </c>
      <c r="K3" s="19"/>
      <c r="L3" s="20" t="n">
        <v>-0.717695192635527</v>
      </c>
      <c r="M3" s="20" t="n">
        <v>-0.628997613365155</v>
      </c>
      <c r="N3" s="20" t="n">
        <v>-0.349982952608251</v>
      </c>
      <c r="O3" s="20" t="n">
        <v>-0.232867371292192</v>
      </c>
      <c r="P3" s="20" t="n">
        <v>-0.460961472894647</v>
      </c>
      <c r="Q3" s="21" t="n">
        <v>56</v>
      </c>
    </row>
    <row r="4" customFormat="false" ht="15" hidden="false" customHeight="false" outlineLevel="0" collapsed="false">
      <c r="A4" s="14" t="s">
        <v>34</v>
      </c>
      <c r="B4" s="15" t="n">
        <v>8729</v>
      </c>
      <c r="C4" s="15" t="n">
        <v>3312</v>
      </c>
      <c r="D4" s="15" t="n">
        <v>2590.7</v>
      </c>
      <c r="E4" s="15" t="n">
        <v>5674</v>
      </c>
      <c r="F4" s="15" t="n">
        <v>5500</v>
      </c>
      <c r="G4" s="15" t="n">
        <v>5400</v>
      </c>
      <c r="H4" s="16"/>
      <c r="I4" s="17" t="n">
        <v>2590.7</v>
      </c>
      <c r="J4" s="18" t="s">
        <v>25</v>
      </c>
      <c r="K4" s="19"/>
      <c r="L4" s="20" t="n">
        <v>-0.620575094512544</v>
      </c>
      <c r="M4" s="20" t="n">
        <v>-0.703207698476343</v>
      </c>
      <c r="N4" s="20" t="n">
        <v>-0.34998281590102</v>
      </c>
      <c r="O4" s="20" t="n">
        <v>-0.369916370718295</v>
      </c>
      <c r="P4" s="20" t="n">
        <v>-0.381372436705236</v>
      </c>
      <c r="Q4" s="21" t="n">
        <v>0</v>
      </c>
    </row>
    <row r="5" customFormat="false" ht="15" hidden="false" customHeight="false" outlineLevel="0" collapsed="false">
      <c r="A5" s="14" t="s">
        <v>35</v>
      </c>
      <c r="B5" s="15" t="n">
        <v>4364</v>
      </c>
      <c r="C5" s="15" t="n">
        <v>552</v>
      </c>
      <c r="D5" s="15" t="n">
        <v>1619.1</v>
      </c>
      <c r="E5" s="15" t="n">
        <v>2837</v>
      </c>
      <c r="F5" s="15" t="n">
        <v>3500</v>
      </c>
      <c r="G5" s="15" t="n">
        <v>1900</v>
      </c>
      <c r="H5" s="16"/>
      <c r="I5" s="17" t="n">
        <v>552</v>
      </c>
      <c r="J5" s="18" t="s">
        <v>24</v>
      </c>
      <c r="K5" s="19"/>
      <c r="L5" s="20" t="n">
        <v>-0.873510540788268</v>
      </c>
      <c r="M5" s="20" t="n">
        <v>-0.628987167736022</v>
      </c>
      <c r="N5" s="20" t="n">
        <v>-0.349908340971586</v>
      </c>
      <c r="O5" s="20" t="n">
        <v>-0.197983501374885</v>
      </c>
      <c r="P5" s="20" t="n">
        <v>-0.564619615032081</v>
      </c>
      <c r="Q5" s="21" t="n">
        <v>0</v>
      </c>
    </row>
    <row r="6" customFormat="false" ht="15" hidden="false" customHeight="false" outlineLevel="0" collapsed="false">
      <c r="A6" s="14" t="s">
        <v>36</v>
      </c>
      <c r="B6" s="15" t="n">
        <v>6546</v>
      </c>
      <c r="C6" s="15" t="n">
        <v>2392</v>
      </c>
      <c r="D6" s="15" t="n">
        <v>2428.65</v>
      </c>
      <c r="E6" s="15" t="n">
        <v>4255</v>
      </c>
      <c r="F6" s="15" t="n">
        <v>4000</v>
      </c>
      <c r="G6" s="15" t="n">
        <v>4540</v>
      </c>
      <c r="H6" s="16"/>
      <c r="I6" s="17" t="n">
        <v>2392</v>
      </c>
      <c r="J6" s="18" t="s">
        <v>24</v>
      </c>
      <c r="K6" s="19"/>
      <c r="L6" s="20" t="n">
        <v>-0.634586006721662</v>
      </c>
      <c r="M6" s="20" t="n">
        <v>-0.628987167736022</v>
      </c>
      <c r="N6" s="20" t="n">
        <v>-0.349984723495264</v>
      </c>
      <c r="O6" s="20" t="n">
        <v>-0.388939810571341</v>
      </c>
      <c r="P6" s="20" t="n">
        <v>-0.306446684998472</v>
      </c>
      <c r="Q6" s="21" t="n">
        <v>0</v>
      </c>
    </row>
    <row r="7" customFormat="false" ht="15" hidden="false" customHeight="false" outlineLevel="0" collapsed="false">
      <c r="A7" s="14" t="s">
        <v>37</v>
      </c>
      <c r="B7" s="15" t="n">
        <v>844</v>
      </c>
      <c r="C7" s="15" t="n">
        <v>552</v>
      </c>
      <c r="D7" s="15" t="n">
        <v>2920.05</v>
      </c>
      <c r="E7" s="15" t="n">
        <v>549</v>
      </c>
      <c r="F7" s="15" t="n">
        <v>4000</v>
      </c>
      <c r="G7" s="15" t="n">
        <v>562.67</v>
      </c>
      <c r="H7" s="16"/>
      <c r="I7" s="17" t="n">
        <v>549</v>
      </c>
      <c r="J7" s="18" t="s">
        <v>26</v>
      </c>
      <c r="K7" s="19"/>
      <c r="L7" s="20" t="n">
        <v>-0.345971563981043</v>
      </c>
      <c r="M7" s="20" t="n">
        <v>2.45977488151659</v>
      </c>
      <c r="N7" s="20" t="n">
        <v>-0.349526066350711</v>
      </c>
      <c r="O7" s="20" t="n">
        <v>3.739336492891</v>
      </c>
      <c r="P7" s="20" t="n">
        <v>-0.333329383886256</v>
      </c>
      <c r="Q7" s="21" t="n">
        <v>3</v>
      </c>
    </row>
    <row r="8" customFormat="false" ht="15" hidden="false" customHeight="false" outlineLevel="0" collapsed="false">
      <c r="A8" s="14" t="s">
        <v>38</v>
      </c>
      <c r="B8" s="15" t="n">
        <v>7946</v>
      </c>
      <c r="C8" s="15" t="n">
        <v>2208</v>
      </c>
      <c r="D8" s="15" t="n">
        <v>2948.05</v>
      </c>
      <c r="E8" s="15" t="n">
        <v>5165</v>
      </c>
      <c r="F8" s="15" t="n">
        <v>6000</v>
      </c>
      <c r="G8" s="22"/>
      <c r="H8" s="16"/>
      <c r="I8" s="17" t="n">
        <v>2208</v>
      </c>
      <c r="J8" s="18" t="s">
        <v>24</v>
      </c>
      <c r="K8" s="19"/>
      <c r="L8" s="20" t="n">
        <v>-0.722124339290209</v>
      </c>
      <c r="M8" s="20" t="n">
        <v>-0.628989428643343</v>
      </c>
      <c r="N8" s="20" t="n">
        <v>-0.349987415051598</v>
      </c>
      <c r="O8" s="20" t="n">
        <v>-0.244903095897307</v>
      </c>
      <c r="P8" s="20" t="n">
        <v>-1</v>
      </c>
      <c r="Q8" s="21" t="n">
        <v>0</v>
      </c>
    </row>
    <row r="9" customFormat="false" ht="15" hidden="false" customHeight="false" outlineLevel="0" collapsed="false">
      <c r="A9" s="14" t="s">
        <v>39</v>
      </c>
      <c r="B9" s="15" t="n">
        <v>13554</v>
      </c>
      <c r="C9" s="15" t="n">
        <v>4692</v>
      </c>
      <c r="D9" s="15" t="n">
        <v>5028.45</v>
      </c>
      <c r="E9" s="15" t="n">
        <v>8810</v>
      </c>
      <c r="F9" s="15" t="n">
        <v>11000</v>
      </c>
      <c r="G9" s="15" t="n">
        <v>8800</v>
      </c>
      <c r="H9" s="16"/>
      <c r="I9" s="17" t="n">
        <v>4692</v>
      </c>
      <c r="J9" s="18" t="s">
        <v>24</v>
      </c>
      <c r="K9" s="19"/>
      <c r="L9" s="20" t="n">
        <v>-0.653829127932714</v>
      </c>
      <c r="M9" s="20" t="n">
        <v>-0.629006197432492</v>
      </c>
      <c r="N9" s="20" t="n">
        <v>-0.350007377895824</v>
      </c>
      <c r="O9" s="20" t="n">
        <v>-0.188431459347794</v>
      </c>
      <c r="P9" s="20" t="n">
        <v>-0.350745167478235</v>
      </c>
      <c r="Q9" s="21" t="n">
        <v>17</v>
      </c>
    </row>
    <row r="10" customFormat="false" ht="15" hidden="false" customHeight="false" outlineLevel="0" collapsed="false">
      <c r="A10" s="14" t="s">
        <v>40</v>
      </c>
      <c r="B10" s="15" t="n">
        <v>27108</v>
      </c>
      <c r="C10" s="15" t="n">
        <v>1840</v>
      </c>
      <c r="D10" s="15" t="n">
        <v>10056.9</v>
      </c>
      <c r="E10" s="15" t="n">
        <v>17620</v>
      </c>
      <c r="F10" s="15" t="n">
        <v>18000</v>
      </c>
      <c r="G10" s="15" t="n">
        <v>25800</v>
      </c>
      <c r="H10" s="16"/>
      <c r="I10" s="17" t="n">
        <v>1840</v>
      </c>
      <c r="J10" s="18" t="s">
        <v>24</v>
      </c>
      <c r="K10" s="19"/>
      <c r="L10" s="20" t="n">
        <v>-0.932123358418179</v>
      </c>
      <c r="M10" s="20" t="n">
        <v>-0.629006197432492</v>
      </c>
      <c r="N10" s="20" t="n">
        <v>-0.350007377895824</v>
      </c>
      <c r="O10" s="20" t="n">
        <v>-0.335989375830013</v>
      </c>
      <c r="P10" s="20" t="n">
        <v>-0.0482514386896857</v>
      </c>
      <c r="Q10" s="21" t="n">
        <v>5</v>
      </c>
    </row>
    <row r="11" customFormat="false" ht="15" hidden="false" customHeight="false" outlineLevel="0" collapsed="false">
      <c r="A11" s="14" t="s">
        <v>41</v>
      </c>
      <c r="B11" s="15" t="n">
        <v>14545</v>
      </c>
      <c r="C11" s="15" t="n">
        <v>1104</v>
      </c>
      <c r="D11" s="15" t="n">
        <v>5396.3</v>
      </c>
      <c r="E11" s="15" t="n">
        <v>9454</v>
      </c>
      <c r="F11" s="15" t="n">
        <v>9000</v>
      </c>
      <c r="G11" s="15" t="n">
        <v>12000</v>
      </c>
      <c r="H11" s="16"/>
      <c r="I11" s="17" t="n">
        <v>1104</v>
      </c>
      <c r="J11" s="18" t="s">
        <v>24</v>
      </c>
      <c r="K11" s="19"/>
      <c r="L11" s="20" t="n">
        <v>-0.924097628050877</v>
      </c>
      <c r="M11" s="20" t="n">
        <v>-0.628992781024407</v>
      </c>
      <c r="N11" s="20" t="n">
        <v>-0.350017188037126</v>
      </c>
      <c r="O11" s="20" t="n">
        <v>-0.381230663458233</v>
      </c>
      <c r="P11" s="20" t="n">
        <v>-0.174974217944311</v>
      </c>
      <c r="Q11" s="21" t="n">
        <v>0</v>
      </c>
    </row>
    <row r="12" customFormat="false" ht="15" hidden="false" customHeight="false" outlineLevel="0" collapsed="false">
      <c r="A12" s="14" t="s">
        <v>42</v>
      </c>
      <c r="B12" s="15" t="n">
        <v>11785</v>
      </c>
      <c r="C12" s="15" t="n">
        <v>736</v>
      </c>
      <c r="D12" s="15" t="n">
        <v>4372.2</v>
      </c>
      <c r="E12" s="15" t="n">
        <v>7660</v>
      </c>
      <c r="F12" s="15" t="n">
        <v>8000</v>
      </c>
      <c r="G12" s="15" t="n">
        <v>7890</v>
      </c>
      <c r="H12" s="16"/>
      <c r="I12" s="17" t="n">
        <v>736</v>
      </c>
      <c r="J12" s="18" t="s">
        <v>24</v>
      </c>
      <c r="K12" s="19"/>
      <c r="L12" s="20" t="n">
        <v>-0.937547730165465</v>
      </c>
      <c r="M12" s="20" t="n">
        <v>-0.629002969876962</v>
      </c>
      <c r="N12" s="20" t="n">
        <v>-0.350021213406873</v>
      </c>
      <c r="O12" s="20" t="n">
        <v>-0.321170980059398</v>
      </c>
      <c r="P12" s="20" t="n">
        <v>-0.330504879083581</v>
      </c>
      <c r="Q12" s="21" t="n">
        <v>0</v>
      </c>
    </row>
    <row r="13" customFormat="false" ht="15" hidden="false" customHeight="false" outlineLevel="0" collapsed="false">
      <c r="A13" s="14" t="s">
        <v>43</v>
      </c>
      <c r="B13" s="15" t="n">
        <v>117535</v>
      </c>
      <c r="C13" s="15" t="n">
        <v>35000</v>
      </c>
      <c r="D13" s="15" t="n">
        <v>10901.45</v>
      </c>
      <c r="E13" s="15" t="n">
        <v>19100</v>
      </c>
      <c r="F13" s="15" t="n">
        <v>18000</v>
      </c>
      <c r="G13" s="15" t="n">
        <v>25000</v>
      </c>
      <c r="H13" s="16"/>
      <c r="I13" s="17" t="n">
        <v>10901.45</v>
      </c>
      <c r="J13" s="18" t="s">
        <v>25</v>
      </c>
      <c r="K13" s="19"/>
      <c r="L13" s="20" t="n">
        <v>-0.702216361083933</v>
      </c>
      <c r="M13" s="20" t="n">
        <v>-0.907249329986812</v>
      </c>
      <c r="N13" s="20" t="n">
        <v>-0.837495214191517</v>
      </c>
      <c r="O13" s="20" t="n">
        <v>-0.846854128557451</v>
      </c>
      <c r="P13" s="20" t="n">
        <v>-0.787297400774238</v>
      </c>
      <c r="Q13" s="21" t="n">
        <v>1</v>
      </c>
    </row>
    <row r="14" customFormat="false" ht="15" hidden="false" customHeight="false" outlineLevel="0" collapsed="false">
      <c r="A14" s="14" t="s">
        <v>44</v>
      </c>
      <c r="B14" s="15" t="n">
        <v>58768</v>
      </c>
      <c r="C14" s="15" t="n">
        <v>4416</v>
      </c>
      <c r="D14" s="15" t="n">
        <v>5450.55</v>
      </c>
      <c r="E14" s="15" t="n">
        <v>9550</v>
      </c>
      <c r="F14" s="15" t="n">
        <v>10000</v>
      </c>
      <c r="G14" s="15" t="n">
        <v>12800</v>
      </c>
      <c r="H14" s="16"/>
      <c r="I14" s="17" t="n">
        <v>4416</v>
      </c>
      <c r="J14" s="18" t="s">
        <v>24</v>
      </c>
      <c r="K14" s="19"/>
      <c r="L14" s="20" t="n">
        <v>-0.924857065069426</v>
      </c>
      <c r="M14" s="20" t="n">
        <v>-0.907253096923496</v>
      </c>
      <c r="N14" s="20" t="n">
        <v>-0.837496596787367</v>
      </c>
      <c r="O14" s="20" t="n">
        <v>-0.829839368363735</v>
      </c>
      <c r="P14" s="20" t="n">
        <v>-0.782194391505581</v>
      </c>
      <c r="Q14" s="21" t="n">
        <v>8</v>
      </c>
    </row>
    <row r="15" customFormat="false" ht="15" hidden="false" customHeight="false" outlineLevel="0" collapsed="false">
      <c r="A15" s="14" t="s">
        <v>45</v>
      </c>
      <c r="B15" s="15" t="n">
        <v>41136</v>
      </c>
      <c r="C15" s="15" t="n">
        <v>15000</v>
      </c>
      <c r="D15" s="15" t="n">
        <v>3816.05</v>
      </c>
      <c r="E15" s="15" t="n">
        <v>6686</v>
      </c>
      <c r="F15" s="15" t="n">
        <v>8000</v>
      </c>
      <c r="G15" s="15" t="n">
        <v>8760</v>
      </c>
      <c r="H15" s="16"/>
      <c r="I15" s="17" t="n">
        <v>3816.05</v>
      </c>
      <c r="J15" s="18" t="s">
        <v>25</v>
      </c>
      <c r="K15" s="19"/>
      <c r="L15" s="20" t="n">
        <v>-0.635355892648775</v>
      </c>
      <c r="M15" s="20" t="n">
        <v>-0.907233323609491</v>
      </c>
      <c r="N15" s="20" t="n">
        <v>-0.837465966549981</v>
      </c>
      <c r="O15" s="20" t="n">
        <v>-0.805523142746013</v>
      </c>
      <c r="P15" s="20" t="n">
        <v>-0.787047841306884</v>
      </c>
      <c r="Q15" s="21" t="n">
        <v>17</v>
      </c>
    </row>
    <row r="16" customFormat="false" ht="15" hidden="false" customHeight="false" outlineLevel="0" collapsed="false">
      <c r="A16" s="14" t="s">
        <v>46</v>
      </c>
      <c r="B16" s="15" t="n">
        <v>41136</v>
      </c>
      <c r="C16" s="15" t="n">
        <v>5500</v>
      </c>
      <c r="D16" s="15" t="n">
        <v>15261.75</v>
      </c>
      <c r="E16" s="15" t="n">
        <v>26738</v>
      </c>
      <c r="F16" s="15" t="n">
        <v>28000</v>
      </c>
      <c r="G16" s="15" t="n">
        <v>37258</v>
      </c>
      <c r="H16" s="16"/>
      <c r="I16" s="17" t="n">
        <v>5500</v>
      </c>
      <c r="J16" s="18" t="s">
        <v>24</v>
      </c>
      <c r="K16" s="19"/>
      <c r="L16" s="20" t="n">
        <v>-0.866297160637884</v>
      </c>
      <c r="M16" s="20" t="n">
        <v>-0.628992852975496</v>
      </c>
      <c r="N16" s="20" t="n">
        <v>-0.350009723842863</v>
      </c>
      <c r="O16" s="20" t="n">
        <v>-0.319330999611046</v>
      </c>
      <c r="P16" s="20" t="n">
        <v>-0.0942726565538701</v>
      </c>
      <c r="Q16" s="21" t="n">
        <v>0</v>
      </c>
    </row>
    <row r="17" customFormat="false" ht="15" hidden="false" customHeight="false" outlineLevel="0" collapsed="false">
      <c r="A17" s="14" t="s">
        <v>47</v>
      </c>
      <c r="B17" s="15" t="n">
        <v>58766</v>
      </c>
      <c r="C17" s="15" t="n">
        <v>6500</v>
      </c>
      <c r="D17" s="15" t="n">
        <v>21802.2</v>
      </c>
      <c r="E17" s="15" t="n">
        <v>38198</v>
      </c>
      <c r="F17" s="15" t="n">
        <v>35000</v>
      </c>
      <c r="G17" s="15" t="n">
        <v>53592</v>
      </c>
      <c r="H17" s="16"/>
      <c r="I17" s="17" t="n">
        <v>6500</v>
      </c>
      <c r="J17" s="18" t="s">
        <v>24</v>
      </c>
      <c r="K17" s="19"/>
      <c r="L17" s="20" t="n">
        <v>-0.889391825205051</v>
      </c>
      <c r="M17" s="20" t="n">
        <v>-0.628999761767008</v>
      </c>
      <c r="N17" s="20" t="n">
        <v>-0.349998298335772</v>
      </c>
      <c r="O17" s="20" t="n">
        <v>-0.404417520334888</v>
      </c>
      <c r="P17" s="20" t="n">
        <v>-0.0880441071367798</v>
      </c>
      <c r="Q17" s="21" t="n">
        <v>1</v>
      </c>
    </row>
    <row r="18" customFormat="false" ht="15" hidden="false" customHeight="false" outlineLevel="0" collapsed="false">
      <c r="A18" s="14" t="s">
        <v>48</v>
      </c>
      <c r="B18" s="15" t="n">
        <v>29383</v>
      </c>
      <c r="C18" s="15" t="n">
        <v>2500</v>
      </c>
      <c r="D18" s="15" t="n">
        <v>10901.45</v>
      </c>
      <c r="E18" s="15" t="n">
        <v>19099</v>
      </c>
      <c r="F18" s="15" t="n">
        <v>7000</v>
      </c>
      <c r="G18" s="15" t="n">
        <v>26173</v>
      </c>
      <c r="H18" s="16"/>
      <c r="I18" s="17" t="n">
        <v>2500</v>
      </c>
      <c r="J18" s="18" t="s">
        <v>24</v>
      </c>
      <c r="K18" s="19"/>
      <c r="L18" s="20" t="n">
        <v>-0.91491678861927</v>
      </c>
      <c r="M18" s="20" t="n">
        <v>-0.628987850117415</v>
      </c>
      <c r="N18" s="20" t="n">
        <v>-0.349998298335772</v>
      </c>
      <c r="O18" s="20" t="n">
        <v>-0.761767008133955</v>
      </c>
      <c r="P18" s="20" t="n">
        <v>-0.109246843412858</v>
      </c>
      <c r="Q18" s="21" t="n">
        <v>0</v>
      </c>
    </row>
    <row r="19" customFormat="false" ht="15" hidden="false" customHeight="false" outlineLevel="0" collapsed="false">
      <c r="A19" s="14" t="s">
        <v>49</v>
      </c>
      <c r="B19" s="15" t="n">
        <v>25754</v>
      </c>
      <c r="C19" s="15" t="n">
        <v>4416</v>
      </c>
      <c r="D19" s="15" t="n">
        <v>1359.4</v>
      </c>
      <c r="E19" s="15" t="n">
        <v>16740</v>
      </c>
      <c r="F19" s="15" t="n">
        <v>18000</v>
      </c>
      <c r="G19" s="15" t="n">
        <v>13400</v>
      </c>
      <c r="H19" s="16"/>
      <c r="I19" s="17" t="n">
        <v>1359.4</v>
      </c>
      <c r="J19" s="18" t="s">
        <v>25</v>
      </c>
      <c r="K19" s="19"/>
      <c r="L19" s="20" t="n">
        <v>-0.828531490253941</v>
      </c>
      <c r="M19" s="20" t="n">
        <v>-0.947215966451813</v>
      </c>
      <c r="N19" s="20" t="n">
        <v>-0.350003882891978</v>
      </c>
      <c r="O19" s="20" t="n">
        <v>-0.301079443969869</v>
      </c>
      <c r="P19" s="20" t="n">
        <v>-0.479692474955347</v>
      </c>
      <c r="Q19" s="21" t="n">
        <v>10</v>
      </c>
    </row>
    <row r="20" customFormat="false" ht="15" hidden="false" customHeight="false" outlineLevel="0" collapsed="false">
      <c r="A20" s="14" t="s">
        <v>50</v>
      </c>
      <c r="B20" s="15" t="n">
        <v>20767</v>
      </c>
      <c r="C20" s="15" t="n">
        <v>367</v>
      </c>
      <c r="D20" s="15" t="n">
        <v>7704.55</v>
      </c>
      <c r="E20" s="15" t="n">
        <v>13499</v>
      </c>
      <c r="F20" s="15" t="n">
        <v>15000</v>
      </c>
      <c r="G20" s="15" t="n">
        <v>19500</v>
      </c>
      <c r="H20" s="16"/>
      <c r="I20" s="17" t="n">
        <v>367</v>
      </c>
      <c r="J20" s="18" t="s">
        <v>24</v>
      </c>
      <c r="K20" s="19"/>
      <c r="L20" s="20" t="n">
        <v>-0.982327731497087</v>
      </c>
      <c r="M20" s="20" t="n">
        <v>-0.629000337073241</v>
      </c>
      <c r="N20" s="20" t="n">
        <v>-0.349978331005923</v>
      </c>
      <c r="O20" s="20" t="n">
        <v>-0.277700197428613</v>
      </c>
      <c r="P20" s="20" t="n">
        <v>-0.0610102566571965</v>
      </c>
      <c r="Q20" s="21" t="n">
        <v>1</v>
      </c>
    </row>
    <row r="21" customFormat="false" ht="15" hidden="false" customHeight="false" outlineLevel="0" collapsed="false">
      <c r="A21" s="14" t="s">
        <v>51</v>
      </c>
      <c r="B21" s="15" t="n">
        <v>14692</v>
      </c>
      <c r="C21" s="15" t="n">
        <v>5500</v>
      </c>
      <c r="D21" s="15" t="n">
        <v>5450.55</v>
      </c>
      <c r="E21" s="15" t="n">
        <v>9550</v>
      </c>
      <c r="F21" s="15" t="n">
        <v>11000</v>
      </c>
      <c r="G21" s="15" t="n">
        <v>4200</v>
      </c>
      <c r="H21" s="16"/>
      <c r="I21" s="17" t="n">
        <v>4200</v>
      </c>
      <c r="J21" s="18" t="s">
        <v>28</v>
      </c>
      <c r="K21" s="19"/>
      <c r="L21" s="20" t="n">
        <v>-0.625646610400218</v>
      </c>
      <c r="M21" s="20" t="n">
        <v>-0.629012387693983</v>
      </c>
      <c r="N21" s="20" t="n">
        <v>-0.349986387149469</v>
      </c>
      <c r="O21" s="20" t="n">
        <v>-0.251293220800436</v>
      </c>
      <c r="P21" s="20" t="n">
        <v>-0.714130138851076</v>
      </c>
      <c r="Q21" s="21" t="n">
        <v>4</v>
      </c>
    </row>
    <row r="22" customFormat="false" ht="15" hidden="false" customHeight="false" outlineLevel="0" collapsed="false">
      <c r="A22" s="14" t="s">
        <v>52</v>
      </c>
      <c r="B22" s="15" t="n">
        <v>11455</v>
      </c>
      <c r="C22" s="15" t="n">
        <v>4048</v>
      </c>
      <c r="D22" s="15" t="n">
        <v>4250.05</v>
      </c>
      <c r="E22" s="15" t="n">
        <v>7446</v>
      </c>
      <c r="F22" s="15" t="n">
        <v>8000</v>
      </c>
      <c r="G22" s="15" t="n">
        <v>2800</v>
      </c>
      <c r="H22" s="16"/>
      <c r="I22" s="17" t="n">
        <v>2800</v>
      </c>
      <c r="J22" s="18" t="s">
        <v>28</v>
      </c>
      <c r="K22" s="19"/>
      <c r="L22" s="20" t="n">
        <v>-0.646617197730249</v>
      </c>
      <c r="M22" s="20" t="n">
        <v>-0.628978611959843</v>
      </c>
      <c r="N22" s="20" t="n">
        <v>-0.349978175469227</v>
      </c>
      <c r="O22" s="20" t="n">
        <v>-0.301615015277172</v>
      </c>
      <c r="P22" s="20" t="n">
        <v>-0.75556525534701</v>
      </c>
      <c r="Q22" s="21" t="n">
        <v>4</v>
      </c>
    </row>
    <row r="23" customFormat="false" ht="15" hidden="false" customHeight="false" outlineLevel="0" collapsed="false">
      <c r="A23" s="14" t="s">
        <v>53</v>
      </c>
      <c r="B23" s="15" t="n">
        <v>6615</v>
      </c>
      <c r="C23" s="15" t="n">
        <v>4500</v>
      </c>
      <c r="D23" s="15" t="n">
        <v>2454.2</v>
      </c>
      <c r="E23" s="15" t="n">
        <v>4300</v>
      </c>
      <c r="F23" s="15" t="n">
        <v>5000</v>
      </c>
      <c r="G23" s="15" t="n">
        <v>10900</v>
      </c>
      <c r="H23" s="16"/>
      <c r="I23" s="17" t="n">
        <v>2454.2</v>
      </c>
      <c r="J23" s="18" t="s">
        <v>25</v>
      </c>
      <c r="K23" s="19"/>
      <c r="L23" s="20" t="n">
        <v>-0.319727891156463</v>
      </c>
      <c r="M23" s="20" t="n">
        <v>-0.628994708994709</v>
      </c>
      <c r="N23" s="20" t="n">
        <v>-0.349962207105064</v>
      </c>
      <c r="O23" s="20" t="n">
        <v>-0.244142101284958</v>
      </c>
      <c r="P23" s="20" t="n">
        <v>0.647770219198791</v>
      </c>
      <c r="Q23" s="21" t="n">
        <v>12</v>
      </c>
    </row>
    <row r="24" customFormat="false" ht="15" hidden="false" customHeight="false" outlineLevel="0" collapsed="false">
      <c r="A24" s="14" t="s">
        <v>54</v>
      </c>
      <c r="B24" s="15" t="n">
        <v>5715</v>
      </c>
      <c r="C24" s="15" t="n">
        <v>1104</v>
      </c>
      <c r="D24" s="15" t="n">
        <v>2120.3</v>
      </c>
      <c r="E24" s="15" t="n">
        <v>3715</v>
      </c>
      <c r="F24" s="15" t="n">
        <v>4000</v>
      </c>
      <c r="G24" s="15" t="n">
        <v>2187</v>
      </c>
      <c r="H24" s="16"/>
      <c r="I24" s="17" t="n">
        <v>1104</v>
      </c>
      <c r="J24" s="18" t="s">
        <v>24</v>
      </c>
      <c r="K24" s="19"/>
      <c r="L24" s="20" t="n">
        <v>-0.806824146981627</v>
      </c>
      <c r="M24" s="20" t="n">
        <v>-0.628993875765529</v>
      </c>
      <c r="N24" s="20" t="n">
        <v>-0.349956255468067</v>
      </c>
      <c r="O24" s="20" t="n">
        <v>-0.300087489063867</v>
      </c>
      <c r="P24" s="20" t="n">
        <v>-0.617322834645669</v>
      </c>
      <c r="Q24" s="21" t="n">
        <v>35</v>
      </c>
    </row>
    <row r="25" customFormat="false" ht="15" hidden="false" customHeight="false" outlineLevel="0" collapsed="false">
      <c r="A25" s="14" t="s">
        <v>55</v>
      </c>
      <c r="B25" s="15" t="n">
        <v>4572</v>
      </c>
      <c r="C25" s="15" t="n">
        <v>1656</v>
      </c>
      <c r="D25" s="15" t="n">
        <v>1696.1</v>
      </c>
      <c r="E25" s="15" t="n">
        <v>2972</v>
      </c>
      <c r="F25" s="15" t="n">
        <v>3500</v>
      </c>
      <c r="G25" s="15" t="n">
        <v>1700</v>
      </c>
      <c r="H25" s="16"/>
      <c r="I25" s="17" t="n">
        <v>1656</v>
      </c>
      <c r="J25" s="18" t="s">
        <v>24</v>
      </c>
      <c r="K25" s="19"/>
      <c r="L25" s="20" t="n">
        <v>-0.637795275590551</v>
      </c>
      <c r="M25" s="20" t="n">
        <v>-0.629024496937883</v>
      </c>
      <c r="N25" s="20" t="n">
        <v>-0.349956255468067</v>
      </c>
      <c r="O25" s="20" t="n">
        <v>-0.234470691163605</v>
      </c>
      <c r="P25" s="20" t="n">
        <v>-0.628171478565179</v>
      </c>
      <c r="Q25" s="21" t="n">
        <v>13</v>
      </c>
    </row>
    <row r="26" customFormat="false" ht="15" hidden="false" customHeight="false" outlineLevel="0" collapsed="false">
      <c r="A26" s="14" t="s">
        <v>56</v>
      </c>
      <c r="B26" s="15" t="n">
        <v>8868</v>
      </c>
      <c r="C26" s="15" t="n">
        <v>3496</v>
      </c>
      <c r="D26" s="15" t="n">
        <v>3290</v>
      </c>
      <c r="E26" s="15" t="n">
        <v>5764</v>
      </c>
      <c r="F26" s="15" t="n">
        <v>7000</v>
      </c>
      <c r="G26" s="15" t="n">
        <v>3645</v>
      </c>
      <c r="H26" s="16"/>
      <c r="I26" s="17" t="n">
        <v>3290</v>
      </c>
      <c r="J26" s="18" t="s">
        <v>25</v>
      </c>
      <c r="K26" s="19"/>
      <c r="L26" s="20" t="n">
        <v>-0.605773567884529</v>
      </c>
      <c r="M26" s="20" t="n">
        <v>-0.629003157419937</v>
      </c>
      <c r="N26" s="20" t="n">
        <v>-0.350022552999549</v>
      </c>
      <c r="O26" s="20" t="n">
        <v>-0.2106450157871</v>
      </c>
      <c r="P26" s="20" t="n">
        <v>-0.588971583220568</v>
      </c>
      <c r="Q26" s="21" t="n">
        <v>15</v>
      </c>
    </row>
    <row r="27" customFormat="false" ht="15" hidden="false" customHeight="false" outlineLevel="0" collapsed="false">
      <c r="A27" s="14" t="s">
        <v>57</v>
      </c>
      <c r="B27" s="15" t="n">
        <v>7122</v>
      </c>
      <c r="C27" s="15" t="n">
        <v>1840</v>
      </c>
      <c r="D27" s="15" t="n">
        <v>2642.15</v>
      </c>
      <c r="E27" s="15" t="n">
        <v>4629</v>
      </c>
      <c r="F27" s="15" t="n">
        <v>5000</v>
      </c>
      <c r="G27" s="15" t="n">
        <v>6800</v>
      </c>
      <c r="H27" s="16"/>
      <c r="I27" s="17" t="n">
        <v>1840</v>
      </c>
      <c r="J27" s="18" t="s">
        <v>24</v>
      </c>
      <c r="K27" s="19"/>
      <c r="L27" s="20" t="n">
        <v>-0.741645605167088</v>
      </c>
      <c r="M27" s="20" t="n">
        <v>-0.629015725919686</v>
      </c>
      <c r="N27" s="20" t="n">
        <v>-0.350042122999158</v>
      </c>
      <c r="O27" s="20" t="n">
        <v>-0.297950014041</v>
      </c>
      <c r="P27" s="20" t="n">
        <v>-0.0452120190957597</v>
      </c>
      <c r="Q27" s="21" t="n">
        <v>0</v>
      </c>
    </row>
    <row r="28" customFormat="false" ht="15" hidden="false" customHeight="false" outlineLevel="0" collapsed="false">
      <c r="A28" s="14" t="s">
        <v>58</v>
      </c>
      <c r="B28" s="15" t="n">
        <v>3824</v>
      </c>
      <c r="C28" s="15" t="n">
        <v>1104</v>
      </c>
      <c r="D28" s="15" t="n">
        <v>1418.9</v>
      </c>
      <c r="E28" s="15" t="n">
        <v>2486</v>
      </c>
      <c r="F28" s="15" t="n">
        <v>2500</v>
      </c>
      <c r="G28" s="15" t="n">
        <v>2430</v>
      </c>
      <c r="H28" s="16"/>
      <c r="I28" s="17" t="n">
        <v>1104</v>
      </c>
      <c r="J28" s="18" t="s">
        <v>24</v>
      </c>
      <c r="K28" s="19"/>
      <c r="L28" s="20" t="n">
        <v>-0.711297071129707</v>
      </c>
      <c r="M28" s="20" t="n">
        <v>-0.628948744769875</v>
      </c>
      <c r="N28" s="20" t="n">
        <v>-0.34989539748954</v>
      </c>
      <c r="O28" s="20" t="n">
        <v>-0.346234309623431</v>
      </c>
      <c r="P28" s="20" t="n">
        <v>-0.364539748953975</v>
      </c>
      <c r="Q28" s="21" t="n">
        <v>11</v>
      </c>
    </row>
    <row r="29" customFormat="false" ht="15" hidden="false" customHeight="false" outlineLevel="0" collapsed="false">
      <c r="A29" s="14" t="s">
        <v>59</v>
      </c>
      <c r="B29" s="15" t="n">
        <v>11904</v>
      </c>
      <c r="C29" s="15" t="n">
        <v>4048</v>
      </c>
      <c r="D29" s="15" t="n">
        <v>4416.65</v>
      </c>
      <c r="E29" s="15" t="n">
        <v>7738</v>
      </c>
      <c r="F29" s="15" t="n">
        <v>8000</v>
      </c>
      <c r="G29" s="15" t="n">
        <v>6200</v>
      </c>
      <c r="H29" s="16"/>
      <c r="I29" s="17" t="n">
        <v>4048</v>
      </c>
      <c r="J29" s="18" t="s">
        <v>24</v>
      </c>
      <c r="K29" s="19"/>
      <c r="L29" s="20" t="n">
        <v>-0.65994623655914</v>
      </c>
      <c r="M29" s="20" t="n">
        <v>-0.628977654569893</v>
      </c>
      <c r="N29" s="20" t="n">
        <v>-0.349966397849462</v>
      </c>
      <c r="O29" s="20" t="n">
        <v>-0.327956989247312</v>
      </c>
      <c r="P29" s="20" t="n">
        <v>-0.479166666666667</v>
      </c>
      <c r="Q29" s="21" t="n">
        <v>6</v>
      </c>
    </row>
    <row r="30" customFormat="false" ht="15" hidden="false" customHeight="false" outlineLevel="0" collapsed="false">
      <c r="A30" s="14" t="s">
        <v>60</v>
      </c>
      <c r="B30" s="15" t="n">
        <v>4216</v>
      </c>
      <c r="C30" s="15" t="n">
        <v>1104</v>
      </c>
      <c r="D30" s="15" t="n">
        <v>1564.15</v>
      </c>
      <c r="E30" s="15" t="n">
        <v>826</v>
      </c>
      <c r="F30" s="15" t="n">
        <v>3000</v>
      </c>
      <c r="G30" s="15" t="n">
        <v>1080</v>
      </c>
      <c r="H30" s="16"/>
      <c r="I30" s="17" t="n">
        <v>826</v>
      </c>
      <c r="J30" s="18" t="s">
        <v>26</v>
      </c>
      <c r="K30" s="19"/>
      <c r="L30" s="20" t="n">
        <v>-0.738140417457306</v>
      </c>
      <c r="M30" s="20" t="n">
        <v>-0.628996679316888</v>
      </c>
      <c r="N30" s="20" t="n">
        <v>-0.804079696394687</v>
      </c>
      <c r="O30" s="20" t="n">
        <v>-0.28842504743833</v>
      </c>
      <c r="P30" s="20" t="n">
        <v>-0.743833017077799</v>
      </c>
      <c r="Q30" s="21" t="n">
        <v>0</v>
      </c>
    </row>
    <row r="31" customFormat="false" ht="15" hidden="false" customHeight="false" outlineLevel="0" collapsed="false">
      <c r="A31" s="14" t="s">
        <v>61</v>
      </c>
      <c r="B31" s="15" t="n">
        <v>25684</v>
      </c>
      <c r="C31" s="15" t="n">
        <v>1656</v>
      </c>
      <c r="D31" s="15" t="n">
        <v>9528.75</v>
      </c>
      <c r="E31" s="15" t="n">
        <v>16695</v>
      </c>
      <c r="F31" s="15" t="n">
        <v>18000</v>
      </c>
      <c r="G31" s="15" t="n">
        <v>18900</v>
      </c>
      <c r="H31" s="16"/>
      <c r="I31" s="17" t="n">
        <v>1656</v>
      </c>
      <c r="J31" s="18" t="s">
        <v>24</v>
      </c>
      <c r="K31" s="19"/>
      <c r="L31" s="20" t="n">
        <v>-0.935524061672637</v>
      </c>
      <c r="M31" s="20" t="n">
        <v>-0.629000545086435</v>
      </c>
      <c r="N31" s="20" t="n">
        <v>-0.349984426101853</v>
      </c>
      <c r="O31" s="20" t="n">
        <v>-0.299174583398225</v>
      </c>
      <c r="P31" s="20" t="n">
        <v>-0.264133312568136</v>
      </c>
      <c r="Q31" s="21" t="n">
        <v>3</v>
      </c>
    </row>
    <row r="32" customFormat="false" ht="15" hidden="false" customHeight="false" outlineLevel="0" collapsed="false">
      <c r="A32" s="14" t="s">
        <v>62</v>
      </c>
      <c r="B32" s="15" t="n">
        <v>5137</v>
      </c>
      <c r="C32" s="15" t="n">
        <v>368</v>
      </c>
      <c r="D32" s="15" t="n">
        <v>1905.75</v>
      </c>
      <c r="E32" s="15" t="n">
        <v>3339</v>
      </c>
      <c r="F32" s="15" t="n">
        <v>3500</v>
      </c>
      <c r="G32" s="15" t="n">
        <v>880</v>
      </c>
      <c r="H32" s="16"/>
      <c r="I32" s="17" t="n">
        <v>368</v>
      </c>
      <c r="J32" s="18" t="s">
        <v>24</v>
      </c>
      <c r="K32" s="19"/>
      <c r="L32" s="20" t="n">
        <v>-0.928362857699046</v>
      </c>
      <c r="M32" s="20" t="n">
        <v>-0.629014989293362</v>
      </c>
      <c r="N32" s="20" t="n">
        <v>-0.350009733307378</v>
      </c>
      <c r="O32" s="20" t="n">
        <v>-0.318668483550711</v>
      </c>
      <c r="P32" s="20" t="n">
        <v>-0.828693790149893</v>
      </c>
      <c r="Q32" s="21" t="n">
        <v>0</v>
      </c>
    </row>
    <row r="33" customFormat="false" ht="15" hidden="false" customHeight="false" outlineLevel="0" collapsed="false">
      <c r="A33" s="14" t="s">
        <v>63</v>
      </c>
      <c r="B33" s="15" t="n">
        <v>25419</v>
      </c>
      <c r="C33" s="15" t="n">
        <v>8096</v>
      </c>
      <c r="D33" s="15" t="n">
        <v>6565.3</v>
      </c>
      <c r="E33" s="15" t="n">
        <v>11502</v>
      </c>
      <c r="F33" s="15" t="n">
        <v>14000</v>
      </c>
      <c r="G33" s="15" t="n">
        <v>7290</v>
      </c>
      <c r="H33" s="16"/>
      <c r="I33" s="17" t="n">
        <v>6565.3</v>
      </c>
      <c r="J33" s="18" t="s">
        <v>25</v>
      </c>
      <c r="K33" s="19"/>
      <c r="L33" s="20" t="n">
        <v>-0.681498091978441</v>
      </c>
      <c r="M33" s="20" t="n">
        <v>-0.741716825996302</v>
      </c>
      <c r="N33" s="20" t="n">
        <v>-0.547503835713443</v>
      </c>
      <c r="O33" s="20" t="n">
        <v>-0.449230890278925</v>
      </c>
      <c r="P33" s="20" t="n">
        <v>-0.713206656438097</v>
      </c>
      <c r="Q33" s="21" t="n">
        <v>3</v>
      </c>
    </row>
    <row r="34" customFormat="false" ht="15" hidden="false" customHeight="false" outlineLevel="0" collapsed="false">
      <c r="A34" s="14" t="s">
        <v>64</v>
      </c>
      <c r="B34" s="15" t="n">
        <v>17696</v>
      </c>
      <c r="C34" s="15" t="n">
        <v>3312</v>
      </c>
      <c r="D34" s="15" t="n">
        <v>9430.4</v>
      </c>
      <c r="E34" s="15" t="n">
        <v>16522</v>
      </c>
      <c r="F34" s="15" t="n">
        <v>20000</v>
      </c>
      <c r="G34" s="15" t="n">
        <v>12150</v>
      </c>
      <c r="H34" s="16"/>
      <c r="I34" s="17" t="n">
        <v>3312</v>
      </c>
      <c r="J34" s="18" t="s">
        <v>24</v>
      </c>
      <c r="K34" s="19"/>
      <c r="L34" s="20" t="n">
        <v>-0.812839059674503</v>
      </c>
      <c r="M34" s="20" t="n">
        <v>-0.467088607594937</v>
      </c>
      <c r="N34" s="20" t="n">
        <v>-0.0663426763110308</v>
      </c>
      <c r="O34" s="20" t="n">
        <v>0.130198915009042</v>
      </c>
      <c r="P34" s="20" t="n">
        <v>-0.313404159132007</v>
      </c>
      <c r="Q34" s="21" t="n">
        <v>0</v>
      </c>
    </row>
    <row r="35" customFormat="false" ht="15" hidden="false" customHeight="false" outlineLevel="0" collapsed="false">
      <c r="A35" s="14" t="s">
        <v>65</v>
      </c>
      <c r="B35" s="15" t="n">
        <v>40957</v>
      </c>
      <c r="C35" s="15" t="n">
        <v>10672</v>
      </c>
      <c r="D35" s="15" t="n">
        <v>15195.25</v>
      </c>
      <c r="E35" s="15" t="n">
        <v>26622</v>
      </c>
      <c r="F35" s="15" t="n">
        <v>30000</v>
      </c>
      <c r="G35" s="15" t="n">
        <v>24300</v>
      </c>
      <c r="H35" s="16"/>
      <c r="I35" s="17" t="n">
        <v>10672</v>
      </c>
      <c r="J35" s="18" t="s">
        <v>24</v>
      </c>
      <c r="K35" s="19"/>
      <c r="L35" s="20" t="n">
        <v>-0.739434040579144</v>
      </c>
      <c r="M35" s="20" t="n">
        <v>-0.628995043582294</v>
      </c>
      <c r="N35" s="20" t="n">
        <v>-0.350001220792539</v>
      </c>
      <c r="O35" s="20" t="n">
        <v>-0.267524476890397</v>
      </c>
      <c r="P35" s="20" t="n">
        <v>-0.406694826281222</v>
      </c>
      <c r="Q35" s="21" t="n">
        <v>0</v>
      </c>
    </row>
    <row r="36" customFormat="false" ht="15" hidden="false" customHeight="false" outlineLevel="0" collapsed="false">
      <c r="A36" s="14" t="s">
        <v>66</v>
      </c>
      <c r="B36" s="15" t="n">
        <v>19364</v>
      </c>
      <c r="C36" s="15" t="n">
        <v>552</v>
      </c>
      <c r="D36" s="15" t="n">
        <v>7184.1</v>
      </c>
      <c r="E36" s="15" t="n">
        <v>12587</v>
      </c>
      <c r="F36" s="15" t="n">
        <v>9000</v>
      </c>
      <c r="G36" s="15" t="n">
        <v>7800</v>
      </c>
      <c r="H36" s="16"/>
      <c r="I36" s="17" t="n">
        <v>552</v>
      </c>
      <c r="J36" s="18" t="s">
        <v>24</v>
      </c>
      <c r="K36" s="19"/>
      <c r="L36" s="20" t="n">
        <v>-0.971493493079942</v>
      </c>
      <c r="M36" s="20" t="n">
        <v>-0.62899710803553</v>
      </c>
      <c r="N36" s="20" t="n">
        <v>-0.349979343110928</v>
      </c>
      <c r="O36" s="20" t="n">
        <v>-0.535219995868622</v>
      </c>
      <c r="P36" s="20" t="n">
        <v>-0.597190663086139</v>
      </c>
      <c r="Q36" s="21" t="n">
        <v>1</v>
      </c>
    </row>
    <row r="37" customFormat="false" ht="15" hidden="false" customHeight="false" outlineLevel="0" collapsed="false">
      <c r="A37" s="14" t="s">
        <v>67</v>
      </c>
      <c r="B37" s="15" t="n">
        <v>29043</v>
      </c>
      <c r="C37" s="15" t="n">
        <v>1472</v>
      </c>
      <c r="D37" s="15" t="n">
        <v>10774.75</v>
      </c>
      <c r="E37" s="15" t="n">
        <v>18878</v>
      </c>
      <c r="F37" s="15" t="n">
        <v>18000</v>
      </c>
      <c r="G37" s="15" t="n">
        <v>11000</v>
      </c>
      <c r="H37" s="16"/>
      <c r="I37" s="17" t="n">
        <v>1472</v>
      </c>
      <c r="J37" s="18" t="s">
        <v>24</v>
      </c>
      <c r="K37" s="19"/>
      <c r="L37" s="20" t="n">
        <v>-0.949316530661433</v>
      </c>
      <c r="M37" s="20" t="n">
        <v>-0.629006989636057</v>
      </c>
      <c r="N37" s="20" t="n">
        <v>-0.349998278414764</v>
      </c>
      <c r="O37" s="20" t="n">
        <v>-0.380229315153393</v>
      </c>
      <c r="P37" s="20" t="n">
        <v>-0.621251248149296</v>
      </c>
      <c r="Q37" s="21" t="n">
        <v>0</v>
      </c>
    </row>
    <row r="38" customFormat="false" ht="15" hidden="false" customHeight="false" outlineLevel="0" collapsed="false">
      <c r="A38" s="14" t="s">
        <v>68</v>
      </c>
      <c r="B38" s="15" t="n">
        <v>29102</v>
      </c>
      <c r="C38" s="15" t="n">
        <v>9568</v>
      </c>
      <c r="D38" s="15" t="n">
        <v>10796.8</v>
      </c>
      <c r="E38" s="15" t="n">
        <v>18916</v>
      </c>
      <c r="F38" s="15" t="n">
        <v>24000</v>
      </c>
      <c r="G38" s="15" t="n">
        <v>60000</v>
      </c>
      <c r="H38" s="16"/>
      <c r="I38" s="17" t="n">
        <v>9568</v>
      </c>
      <c r="J38" s="18" t="s">
        <v>24</v>
      </c>
      <c r="K38" s="19"/>
      <c r="L38" s="20" t="n">
        <v>-0.67122534533709</v>
      </c>
      <c r="M38" s="20" t="n">
        <v>-0.62900144319978</v>
      </c>
      <c r="N38" s="20" t="n">
        <v>-0.350010308569858</v>
      </c>
      <c r="O38" s="20" t="n">
        <v>-0.175314411380661</v>
      </c>
      <c r="P38" s="20" t="n">
        <v>1.06171397154835</v>
      </c>
      <c r="Q38" s="21" t="n">
        <v>12</v>
      </c>
    </row>
    <row r="39" customFormat="false" ht="15" hidden="false" customHeight="false" outlineLevel="0" collapsed="false">
      <c r="A39" s="14" t="s">
        <v>69</v>
      </c>
      <c r="B39" s="15" t="n">
        <v>19364</v>
      </c>
      <c r="C39" s="15" t="n">
        <v>2024</v>
      </c>
      <c r="D39" s="15" t="n">
        <v>7184.1</v>
      </c>
      <c r="E39" s="15" t="n">
        <v>12587</v>
      </c>
      <c r="F39" s="15" t="n">
        <v>16000</v>
      </c>
      <c r="G39" s="15" t="n">
        <v>12800</v>
      </c>
      <c r="H39" s="16"/>
      <c r="I39" s="17" t="n">
        <v>2024</v>
      </c>
      <c r="J39" s="18" t="s">
        <v>24</v>
      </c>
      <c r="K39" s="19"/>
      <c r="L39" s="20" t="n">
        <v>-0.895476141293121</v>
      </c>
      <c r="M39" s="20" t="n">
        <v>-0.62899710803553</v>
      </c>
      <c r="N39" s="20" t="n">
        <v>-0.349979343110928</v>
      </c>
      <c r="O39" s="20" t="n">
        <v>-0.173724437099773</v>
      </c>
      <c r="P39" s="20" t="n">
        <v>-0.338979549679818</v>
      </c>
      <c r="Q39" s="21" t="n">
        <v>0</v>
      </c>
    </row>
    <row r="40" customFormat="false" ht="15" hidden="false" customHeight="false" outlineLevel="0" collapsed="false">
      <c r="A40" s="14" t="s">
        <v>70</v>
      </c>
      <c r="B40" s="15" t="n">
        <v>29043</v>
      </c>
      <c r="C40" s="15" t="n">
        <v>4784</v>
      </c>
      <c r="D40" s="15" t="n">
        <v>10774.75</v>
      </c>
      <c r="E40" s="15" t="n">
        <v>18878</v>
      </c>
      <c r="F40" s="15" t="n">
        <v>24000</v>
      </c>
      <c r="G40" s="15" t="n">
        <v>14000</v>
      </c>
      <c r="H40" s="16"/>
      <c r="I40" s="17" t="n">
        <v>4784</v>
      </c>
      <c r="J40" s="18" t="s">
        <v>24</v>
      </c>
      <c r="K40" s="19"/>
      <c r="L40" s="20" t="n">
        <v>-0.835278724649657</v>
      </c>
      <c r="M40" s="20" t="n">
        <v>-0.629006989636057</v>
      </c>
      <c r="N40" s="20" t="n">
        <v>-0.349998278414764</v>
      </c>
      <c r="O40" s="20" t="n">
        <v>-0.173639086871191</v>
      </c>
      <c r="P40" s="20" t="n">
        <v>-0.517956134008195</v>
      </c>
      <c r="Q40" s="21" t="n">
        <v>0</v>
      </c>
    </row>
    <row r="41" customFormat="false" ht="15" hidden="false" customHeight="false" outlineLevel="0" collapsed="false">
      <c r="A41" s="14" t="s">
        <v>71</v>
      </c>
      <c r="B41" s="15" t="n">
        <v>12093</v>
      </c>
      <c r="C41" s="15" t="n">
        <v>2024</v>
      </c>
      <c r="D41" s="15" t="n">
        <v>4486.3</v>
      </c>
      <c r="E41" s="15" t="n">
        <v>8463</v>
      </c>
      <c r="F41" s="15" t="n">
        <v>11000</v>
      </c>
      <c r="G41" s="15" t="n">
        <v>7800</v>
      </c>
      <c r="H41" s="16"/>
      <c r="I41" s="17" t="n">
        <v>2024</v>
      </c>
      <c r="J41" s="18" t="s">
        <v>24</v>
      </c>
      <c r="K41" s="19"/>
      <c r="L41" s="20" t="n">
        <v>-0.832630447366245</v>
      </c>
      <c r="M41" s="20" t="n">
        <v>-0.629016786570743</v>
      </c>
      <c r="N41" s="20" t="n">
        <v>-0.300173654180104</v>
      </c>
      <c r="O41" s="20" t="n">
        <v>-0.0903828661208964</v>
      </c>
      <c r="P41" s="20" t="n">
        <v>-0.354998759612999</v>
      </c>
      <c r="Q41" s="21" t="n">
        <v>4</v>
      </c>
    </row>
    <row r="42" customFormat="false" ht="15" hidden="false" customHeight="false" outlineLevel="0" collapsed="false">
      <c r="A42" s="14" t="s">
        <v>72</v>
      </c>
      <c r="B42" s="15" t="n">
        <v>5678</v>
      </c>
      <c r="C42" s="15" t="n">
        <v>1288</v>
      </c>
      <c r="D42" s="15" t="n">
        <v>2106.3</v>
      </c>
      <c r="E42" s="15" t="n">
        <v>3691</v>
      </c>
      <c r="F42" s="15" t="n">
        <v>4500</v>
      </c>
      <c r="G42" s="15" t="n">
        <v>4860</v>
      </c>
      <c r="H42" s="16"/>
      <c r="I42" s="17" t="n">
        <v>1288</v>
      </c>
      <c r="J42" s="18" t="s">
        <v>24</v>
      </c>
      <c r="K42" s="19"/>
      <c r="L42" s="20" t="n">
        <v>-0.773159563226488</v>
      </c>
      <c r="M42" s="20" t="n">
        <v>-0.629041916167665</v>
      </c>
      <c r="N42" s="20" t="n">
        <v>-0.34994716449454</v>
      </c>
      <c r="O42" s="20" t="n">
        <v>-0.207467418104967</v>
      </c>
      <c r="P42" s="20" t="n">
        <v>-0.144064811553364</v>
      </c>
      <c r="Q42" s="21" t="n">
        <v>2</v>
      </c>
    </row>
    <row r="43" customFormat="false" ht="15" hidden="false" customHeight="false" outlineLevel="0" collapsed="false">
      <c r="A43" s="14" t="s">
        <v>73</v>
      </c>
      <c r="B43" s="15" t="n">
        <v>13020</v>
      </c>
      <c r="C43" s="15" t="n">
        <v>2208</v>
      </c>
      <c r="D43" s="15" t="n">
        <v>4830.7</v>
      </c>
      <c r="E43" s="15" t="n">
        <v>8463</v>
      </c>
      <c r="F43" s="15" t="n">
        <v>1000</v>
      </c>
      <c r="G43" s="15" t="n">
        <v>5400</v>
      </c>
      <c r="H43" s="16"/>
      <c r="I43" s="17" t="n">
        <v>1000</v>
      </c>
      <c r="J43" s="18" t="s">
        <v>27</v>
      </c>
      <c r="K43" s="19"/>
      <c r="L43" s="20" t="n">
        <v>-0.830414746543779</v>
      </c>
      <c r="M43" s="20" t="n">
        <v>-0.628978494623656</v>
      </c>
      <c r="N43" s="20" t="n">
        <v>-0.35</v>
      </c>
      <c r="O43" s="20" t="n">
        <v>-0.923195084485407</v>
      </c>
      <c r="P43" s="20" t="n">
        <v>-0.585253456221198</v>
      </c>
      <c r="Q43" s="21" t="n">
        <v>0</v>
      </c>
    </row>
    <row r="44" customFormat="false" ht="15" hidden="false" customHeight="false" outlineLevel="0" collapsed="false">
      <c r="A44" s="14" t="s">
        <v>74</v>
      </c>
      <c r="B44" s="15" t="n">
        <v>117535</v>
      </c>
      <c r="C44" s="15" t="n">
        <v>18000</v>
      </c>
      <c r="D44" s="15" t="n">
        <v>43605.45</v>
      </c>
      <c r="E44" s="15" t="n">
        <v>76398</v>
      </c>
      <c r="F44" s="15" t="n">
        <v>85000</v>
      </c>
      <c r="G44" s="15" t="n">
        <v>65000</v>
      </c>
      <c r="H44" s="16"/>
      <c r="I44" s="17" t="n">
        <v>18000</v>
      </c>
      <c r="J44" s="18" t="s">
        <v>24</v>
      </c>
      <c r="K44" s="19"/>
      <c r="L44" s="20" t="n">
        <v>-0.846854128557451</v>
      </c>
      <c r="M44" s="20" t="n">
        <v>-0.629000297783639</v>
      </c>
      <c r="N44" s="20" t="n">
        <v>-0.349997872974008</v>
      </c>
      <c r="O44" s="20" t="n">
        <v>-0.276811162632407</v>
      </c>
      <c r="P44" s="20" t="n">
        <v>-0.446973242013017</v>
      </c>
      <c r="Q44" s="21" t="n">
        <v>1</v>
      </c>
    </row>
    <row r="45" customFormat="false" ht="15" hidden="false" customHeight="false" outlineLevel="0" collapsed="false">
      <c r="A45" s="14" t="s">
        <v>75</v>
      </c>
      <c r="B45" s="15" t="n">
        <v>22729</v>
      </c>
      <c r="C45" s="15" t="n">
        <v>3864</v>
      </c>
      <c r="D45" s="15" t="n">
        <v>8432.55</v>
      </c>
      <c r="E45" s="15" t="n">
        <v>14774</v>
      </c>
      <c r="F45" s="15" t="n">
        <v>15000</v>
      </c>
      <c r="G45" s="15" t="n">
        <v>18000</v>
      </c>
      <c r="H45" s="16"/>
      <c r="I45" s="17" t="n">
        <v>3864</v>
      </c>
      <c r="J45" s="18" t="s">
        <v>24</v>
      </c>
      <c r="K45" s="19"/>
      <c r="L45" s="20" t="n">
        <v>-0.829996920234062</v>
      </c>
      <c r="M45" s="20" t="n">
        <v>-0.628995996304281</v>
      </c>
      <c r="N45" s="20" t="n">
        <v>-0.349993400501562</v>
      </c>
      <c r="O45" s="20" t="n">
        <v>-0.34005015618813</v>
      </c>
      <c r="P45" s="20" t="n">
        <v>-0.208060187425756</v>
      </c>
      <c r="Q45" s="21" t="n">
        <v>5</v>
      </c>
    </row>
    <row r="46" customFormat="false" ht="15" hidden="false" customHeight="false" outlineLevel="0" collapsed="false">
      <c r="A46" s="14" t="s">
        <v>76</v>
      </c>
      <c r="B46" s="15" t="n">
        <v>27699</v>
      </c>
      <c r="C46" s="15" t="n">
        <v>1104</v>
      </c>
      <c r="D46" s="15" t="n">
        <v>10276.35</v>
      </c>
      <c r="E46" s="15" t="n">
        <v>18004</v>
      </c>
      <c r="F46" s="15" t="n">
        <v>20000</v>
      </c>
      <c r="G46" s="15" t="n">
        <v>22000</v>
      </c>
      <c r="H46" s="16"/>
      <c r="I46" s="17" t="n">
        <v>1104</v>
      </c>
      <c r="J46" s="18" t="s">
        <v>24</v>
      </c>
      <c r="K46" s="19"/>
      <c r="L46" s="20" t="n">
        <v>-0.960142965450016</v>
      </c>
      <c r="M46" s="20" t="n">
        <v>-0.628999241849886</v>
      </c>
      <c r="N46" s="20" t="n">
        <v>-0.350012635835229</v>
      </c>
      <c r="O46" s="20" t="n">
        <v>-0.277952272645222</v>
      </c>
      <c r="P46" s="20" t="n">
        <v>-0.205747499909744</v>
      </c>
      <c r="Q46" s="21" t="n">
        <v>0</v>
      </c>
    </row>
    <row r="47" customFormat="false" ht="15" hidden="false" customHeight="false" outlineLevel="0" collapsed="false">
      <c r="A47" s="14" t="s">
        <v>77</v>
      </c>
      <c r="B47" s="15" t="n">
        <v>2598</v>
      </c>
      <c r="C47" s="15" t="n">
        <v>1067.2</v>
      </c>
      <c r="D47" s="15" t="n">
        <v>963.9</v>
      </c>
      <c r="E47" s="15" t="n">
        <v>1689</v>
      </c>
      <c r="F47" s="15" t="n">
        <v>2000</v>
      </c>
      <c r="G47" s="15" t="n">
        <v>1800</v>
      </c>
      <c r="H47" s="16"/>
      <c r="I47" s="17" t="n">
        <v>963.9</v>
      </c>
      <c r="J47" s="18" t="s">
        <v>25</v>
      </c>
      <c r="K47" s="19"/>
      <c r="L47" s="20" t="n">
        <v>-0.589222478829869</v>
      </c>
      <c r="M47" s="20" t="n">
        <v>-0.628983833718245</v>
      </c>
      <c r="N47" s="20" t="n">
        <v>-0.349884526558892</v>
      </c>
      <c r="O47" s="20" t="n">
        <v>-0.230177059276366</v>
      </c>
      <c r="P47" s="20" t="n">
        <v>-0.30715935334873</v>
      </c>
      <c r="Q47" s="21" t="n">
        <v>0</v>
      </c>
    </row>
    <row r="48" customFormat="false" ht="15" hidden="false" customHeight="false" outlineLevel="0" collapsed="false">
      <c r="A48" s="14" t="s">
        <v>78</v>
      </c>
      <c r="B48" s="15" t="n">
        <v>18296</v>
      </c>
      <c r="C48" s="15" t="n">
        <v>8500</v>
      </c>
      <c r="D48" s="15" t="n">
        <v>6787.9</v>
      </c>
      <c r="E48" s="15" t="n">
        <v>11892</v>
      </c>
      <c r="F48" s="15" t="n">
        <v>15000</v>
      </c>
      <c r="G48" s="15" t="n">
        <v>14700</v>
      </c>
      <c r="H48" s="16"/>
      <c r="I48" s="17" t="n">
        <v>6787.9</v>
      </c>
      <c r="J48" s="18" t="s">
        <v>25</v>
      </c>
      <c r="K48" s="19"/>
      <c r="L48" s="20" t="n">
        <v>-0.535417577612593</v>
      </c>
      <c r="M48" s="20" t="n">
        <v>-0.628995408832532</v>
      </c>
      <c r="N48" s="20" t="n">
        <v>-0.35002186270223</v>
      </c>
      <c r="O48" s="20" t="n">
        <v>-0.180148666375164</v>
      </c>
      <c r="P48" s="20" t="n">
        <v>-0.196545693047661</v>
      </c>
      <c r="Q48" s="21" t="n">
        <v>0</v>
      </c>
    </row>
    <row r="49" customFormat="false" ht="15" hidden="false" customHeight="false" outlineLevel="0" collapsed="false">
      <c r="A49" s="14" t="s">
        <v>79</v>
      </c>
      <c r="B49" s="15" t="n">
        <v>7858</v>
      </c>
      <c r="C49" s="15" t="n">
        <v>7500</v>
      </c>
      <c r="D49" s="15" t="n">
        <v>4239.2</v>
      </c>
      <c r="E49" s="15" t="n">
        <v>6035</v>
      </c>
      <c r="F49" s="15" t="n">
        <v>7000</v>
      </c>
      <c r="G49" s="15" t="n">
        <v>8800</v>
      </c>
      <c r="H49" s="16"/>
      <c r="I49" s="17" t="n">
        <v>4239.2</v>
      </c>
      <c r="J49" s="18" t="s">
        <v>25</v>
      </c>
      <c r="K49" s="19"/>
      <c r="L49" s="20" t="n">
        <v>-0.0455586663273098</v>
      </c>
      <c r="M49" s="20" t="n">
        <v>-0.460524306439298</v>
      </c>
      <c r="N49" s="20" t="n">
        <v>-0.231992873504709</v>
      </c>
      <c r="O49" s="20" t="n">
        <v>-0.109188088572156</v>
      </c>
      <c r="P49" s="20" t="n">
        <v>0.11987783150929</v>
      </c>
      <c r="Q49" s="21" t="n">
        <v>6</v>
      </c>
    </row>
    <row r="50" customFormat="false" ht="15" hidden="false" customHeight="false" outlineLevel="0" collapsed="false">
      <c r="A50" s="14" t="s">
        <v>80</v>
      </c>
      <c r="B50" s="15" t="n">
        <v>7030</v>
      </c>
      <c r="C50" s="15" t="n">
        <v>2208</v>
      </c>
      <c r="D50" s="15" t="n">
        <v>2608.2</v>
      </c>
      <c r="E50" s="15" t="n">
        <v>4570</v>
      </c>
      <c r="F50" s="15" t="n">
        <v>5500</v>
      </c>
      <c r="G50" s="15" t="n">
        <v>3400</v>
      </c>
      <c r="H50" s="16"/>
      <c r="I50" s="17" t="n">
        <v>2208</v>
      </c>
      <c r="J50" s="18" t="s">
        <v>24</v>
      </c>
      <c r="K50" s="19"/>
      <c r="L50" s="20" t="n">
        <v>-0.685917496443812</v>
      </c>
      <c r="M50" s="20" t="n">
        <v>-0.628990042674253</v>
      </c>
      <c r="N50" s="20" t="n">
        <v>-0.349928876244666</v>
      </c>
      <c r="O50" s="20" t="n">
        <v>-0.217638691322902</v>
      </c>
      <c r="P50" s="20" t="n">
        <v>-0.516358463726885</v>
      </c>
      <c r="Q50" s="21" t="n">
        <v>3</v>
      </c>
    </row>
    <row r="51" customFormat="false" ht="15" hidden="false" customHeight="false" outlineLevel="0" collapsed="false">
      <c r="A51" s="14" t="s">
        <v>81</v>
      </c>
      <c r="B51" s="15" t="n">
        <v>1556</v>
      </c>
      <c r="C51" s="15" t="n">
        <v>367</v>
      </c>
      <c r="D51" s="15" t="n">
        <v>577.15</v>
      </c>
      <c r="E51" s="15" t="n">
        <v>1011</v>
      </c>
      <c r="F51" s="15" t="n">
        <v>1000</v>
      </c>
      <c r="G51" s="15" t="n">
        <v>523.26</v>
      </c>
      <c r="H51" s="16"/>
      <c r="I51" s="17" t="n">
        <v>367</v>
      </c>
      <c r="J51" s="18" t="s">
        <v>24</v>
      </c>
      <c r="K51" s="19"/>
      <c r="L51" s="20" t="n">
        <v>-0.76413881748072</v>
      </c>
      <c r="M51" s="20" t="n">
        <v>-0.629080976863753</v>
      </c>
      <c r="N51" s="20" t="n">
        <v>-0.35025706940874</v>
      </c>
      <c r="O51" s="20" t="n">
        <v>-0.3573264781491</v>
      </c>
      <c r="P51" s="20" t="n">
        <v>-0.663714652956298</v>
      </c>
      <c r="Q51" s="21" t="n">
        <v>0</v>
      </c>
    </row>
    <row r="52" customFormat="false" ht="15" hidden="false" customHeight="false" outlineLevel="0" collapsed="false">
      <c r="A52" s="14" t="s">
        <v>82</v>
      </c>
      <c r="B52" s="15" t="n">
        <v>1040</v>
      </c>
      <c r="C52" s="15" t="n">
        <v>263</v>
      </c>
      <c r="D52" s="15" t="n">
        <v>385.7</v>
      </c>
      <c r="E52" s="15" t="n">
        <v>676</v>
      </c>
      <c r="F52" s="15" t="n">
        <v>600</v>
      </c>
      <c r="G52" s="15" t="n">
        <v>361.25</v>
      </c>
      <c r="H52" s="16"/>
      <c r="I52" s="17" t="n">
        <v>263</v>
      </c>
      <c r="J52" s="18" t="s">
        <v>24</v>
      </c>
      <c r="K52" s="19"/>
      <c r="L52" s="20" t="n">
        <v>-0.747115384615385</v>
      </c>
      <c r="M52" s="20" t="n">
        <v>-0.629134615384615</v>
      </c>
      <c r="N52" s="20" t="n">
        <v>-0.35</v>
      </c>
      <c r="O52" s="20" t="n">
        <v>-0.423076923076923</v>
      </c>
      <c r="P52" s="20" t="n">
        <v>-0.652644230769231</v>
      </c>
      <c r="Q52" s="21" t="n">
        <v>0</v>
      </c>
    </row>
    <row r="53" customFormat="false" ht="15" hidden="false" customHeight="false" outlineLevel="0" collapsed="false">
      <c r="A53" s="14" t="s">
        <v>83</v>
      </c>
      <c r="B53" s="15" t="n">
        <v>727</v>
      </c>
      <c r="C53" s="15" t="n">
        <v>127</v>
      </c>
      <c r="D53" s="15" t="n">
        <v>269.5</v>
      </c>
      <c r="E53" s="15" t="n">
        <v>473</v>
      </c>
      <c r="F53" s="15" t="n">
        <v>300</v>
      </c>
      <c r="G53" s="15" t="n">
        <v>201.42</v>
      </c>
      <c r="H53" s="16"/>
      <c r="I53" s="17" t="n">
        <v>127</v>
      </c>
      <c r="J53" s="18" t="s">
        <v>24</v>
      </c>
      <c r="K53" s="19"/>
      <c r="L53" s="20" t="n">
        <v>-0.825309491059147</v>
      </c>
      <c r="M53" s="20" t="n">
        <v>-0.6292984869326</v>
      </c>
      <c r="N53" s="20" t="n">
        <v>-0.349381017881706</v>
      </c>
      <c r="O53" s="20" t="n">
        <v>-0.587345254470426</v>
      </c>
      <c r="P53" s="20" t="n">
        <v>-0.722943603851444</v>
      </c>
      <c r="Q53" s="21" t="n">
        <v>0</v>
      </c>
    </row>
    <row r="54" customFormat="false" ht="15" hidden="false" customHeight="false" outlineLevel="0" collapsed="false">
      <c r="A54" s="14" t="s">
        <v>84</v>
      </c>
      <c r="B54" s="15" t="n">
        <v>779</v>
      </c>
      <c r="C54" s="15" t="n">
        <v>460</v>
      </c>
      <c r="D54" s="15" t="n">
        <v>288.75</v>
      </c>
      <c r="E54" s="15" t="n">
        <v>506</v>
      </c>
      <c r="F54" s="15" t="n">
        <v>600</v>
      </c>
      <c r="G54" s="15" t="n">
        <v>650</v>
      </c>
      <c r="H54" s="16"/>
      <c r="I54" s="17" t="n">
        <v>288.75</v>
      </c>
      <c r="J54" s="18" t="s">
        <v>25</v>
      </c>
      <c r="K54" s="19"/>
      <c r="L54" s="20" t="n">
        <v>-0.409499358151476</v>
      </c>
      <c r="M54" s="20" t="n">
        <v>-0.629332477535302</v>
      </c>
      <c r="N54" s="20" t="n">
        <v>-0.350449293966624</v>
      </c>
      <c r="O54" s="20" t="n">
        <v>-0.229781771501926</v>
      </c>
      <c r="P54" s="20" t="n">
        <v>-0.165596919127086</v>
      </c>
      <c r="Q54" s="21" t="n">
        <v>0</v>
      </c>
    </row>
    <row r="55" customFormat="false" ht="15" hidden="false" customHeight="false" outlineLevel="0" collapsed="false">
      <c r="A55" s="14" t="s">
        <v>85</v>
      </c>
      <c r="B55" s="15" t="n">
        <v>28000</v>
      </c>
      <c r="C55" s="15" t="n">
        <v>76171</v>
      </c>
      <c r="D55" s="15" t="n">
        <v>42000</v>
      </c>
      <c r="E55" s="15" t="n">
        <v>59500</v>
      </c>
      <c r="F55" s="15" t="n">
        <v>80000</v>
      </c>
      <c r="G55" s="15" t="n">
        <v>89568</v>
      </c>
      <c r="H55" s="16"/>
      <c r="I55" s="17" t="n">
        <v>42000</v>
      </c>
      <c r="J55" s="18" t="s">
        <v>25</v>
      </c>
      <c r="K55" s="19"/>
      <c r="L55" s="15" t="n">
        <v>76171</v>
      </c>
      <c r="M55" s="15" t="n">
        <v>42000</v>
      </c>
      <c r="N55" s="15" t="n">
        <v>59500</v>
      </c>
      <c r="O55" s="15" t="n">
        <v>80000</v>
      </c>
      <c r="P55" s="15" t="n">
        <v>89568</v>
      </c>
      <c r="Q55" s="21" t="n">
        <v>12</v>
      </c>
    </row>
    <row r="56" customFormat="false" ht="15" hidden="false" customHeight="false" outlineLevel="0" collapsed="false">
      <c r="A56" s="23" t="s">
        <v>86</v>
      </c>
      <c r="B56" s="24" t="n">
        <v>1085326</v>
      </c>
      <c r="C56" s="24" t="n">
        <v>290086.2</v>
      </c>
      <c r="D56" s="24" t="n">
        <v>368854.15</v>
      </c>
      <c r="E56" s="24" t="n">
        <v>640381</v>
      </c>
      <c r="F56" s="24" t="n">
        <v>698000</v>
      </c>
      <c r="G56" s="24" t="n">
        <v>723125.6</v>
      </c>
      <c r="H56" s="24"/>
      <c r="I56" s="25" t="n">
        <v>203787.85</v>
      </c>
      <c r="J56" s="26"/>
      <c r="K56" s="26"/>
      <c r="L56" s="24" t="n">
        <v>76131.5999467654</v>
      </c>
      <c r="M56" s="24" t="n">
        <v>41968.741533398</v>
      </c>
      <c r="N56" s="24" t="n">
        <v>59479.788526735</v>
      </c>
      <c r="O56" s="24" t="n">
        <v>79986.4375200017</v>
      </c>
      <c r="P56" s="24" t="n">
        <v>89547.5450281177</v>
      </c>
    </row>
  </sheetData>
  <conditionalFormatting sqref="L2:P5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53125" defaultRowHeight="15" zeroHeight="false" outlineLevelRow="0" outlineLevelCol="0"/>
  <cols>
    <col collapsed="false" customWidth="true" hidden="false" outlineLevel="0" max="7" min="2" style="0" width="11.57"/>
    <col collapsed="false" customWidth="true" hidden="false" outlineLevel="0" max="8" min="8" style="0" width="4.14"/>
    <col collapsed="false" customWidth="true" hidden="false" outlineLevel="0" max="9" min="9" style="0" width="12.71"/>
    <col collapsed="false" customWidth="true" hidden="false" outlineLevel="0" max="10" min="10" style="0" width="12.14"/>
    <col collapsed="false" customWidth="true" hidden="false" outlineLevel="0" max="11" min="11" style="0" width="3.85"/>
    <col collapsed="false" customWidth="true" hidden="false" outlineLevel="0" max="16" min="12" style="0" width="10.71"/>
    <col collapsed="false" customWidth="true" hidden="false" outlineLevel="0" max="19" min="17" style="0" width="17"/>
  </cols>
  <sheetData>
    <row r="1" customFormat="false" ht="63.75" hidden="false" customHeight="tru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1"/>
      <c r="I1" s="12" t="s">
        <v>29</v>
      </c>
      <c r="J1" s="13" t="s">
        <v>30</v>
      </c>
      <c r="K1" s="11"/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87</v>
      </c>
      <c r="R1" s="10" t="s">
        <v>88</v>
      </c>
      <c r="S1" s="10" t="s">
        <v>89</v>
      </c>
    </row>
    <row r="2" customFormat="false" ht="15" hidden="false" customHeight="false" outlineLevel="0" collapsed="false">
      <c r="A2" s="14" t="s">
        <v>32</v>
      </c>
      <c r="B2" s="27" t="n">
        <v>4364</v>
      </c>
      <c r="C2" s="28" t="n">
        <v>1288</v>
      </c>
      <c r="D2" s="28" t="n">
        <v>1619.1</v>
      </c>
      <c r="E2" s="28" t="n">
        <v>2837</v>
      </c>
      <c r="F2" s="28" t="n">
        <v>3500</v>
      </c>
      <c r="G2" s="28" t="n">
        <v>2462</v>
      </c>
      <c r="H2" s="29"/>
      <c r="I2" s="30" t="n">
        <v>1288</v>
      </c>
      <c r="J2" s="18" t="s">
        <v>24</v>
      </c>
      <c r="K2" s="19"/>
      <c r="L2" s="20" t="n">
        <v>-0.704857928505958</v>
      </c>
      <c r="M2" s="20" t="n">
        <v>-0.628987167736022</v>
      </c>
      <c r="N2" s="20" t="n">
        <v>-0.349908340971586</v>
      </c>
      <c r="O2" s="20" t="n">
        <v>-0.197983501374885</v>
      </c>
      <c r="P2" s="20" t="n">
        <v>-0.435838680109991</v>
      </c>
      <c r="Q2" s="31" t="n">
        <f aca="false">R2+S2</f>
        <v>511</v>
      </c>
      <c r="R2" s="31" t="n">
        <v>120</v>
      </c>
      <c r="S2" s="31" t="n">
        <v>391</v>
      </c>
    </row>
    <row r="3" customFormat="false" ht="15" hidden="false" customHeight="false" outlineLevel="0" collapsed="false">
      <c r="A3" s="14" t="s">
        <v>33</v>
      </c>
      <c r="B3" s="27" t="n">
        <v>5866</v>
      </c>
      <c r="C3" s="28" t="n">
        <v>3312</v>
      </c>
      <c r="D3" s="28" t="n">
        <v>2176.3</v>
      </c>
      <c r="E3" s="28" t="n">
        <v>3813</v>
      </c>
      <c r="F3" s="28" t="n">
        <v>4500</v>
      </c>
      <c r="G3" s="28" t="n">
        <v>3162</v>
      </c>
      <c r="H3" s="29"/>
      <c r="I3" s="30" t="n">
        <v>2176.3</v>
      </c>
      <c r="J3" s="18" t="s">
        <v>25</v>
      </c>
      <c r="K3" s="19"/>
      <c r="L3" s="20" t="n">
        <v>-0.435390385271054</v>
      </c>
      <c r="M3" s="20" t="n">
        <v>-0.628997613365155</v>
      </c>
      <c r="N3" s="20" t="n">
        <v>-0.349982952608251</v>
      </c>
      <c r="O3" s="20" t="n">
        <v>-0.232867371292192</v>
      </c>
      <c r="P3" s="20" t="n">
        <v>-0.460961472894647</v>
      </c>
      <c r="Q3" s="31" t="n">
        <f aca="false">R3+S3</f>
        <v>56</v>
      </c>
      <c r="R3" s="31" t="n">
        <v>56</v>
      </c>
      <c r="S3" s="31" t="n">
        <v>0</v>
      </c>
    </row>
    <row r="4" customFormat="false" ht="15" hidden="false" customHeight="false" outlineLevel="0" collapsed="false">
      <c r="A4" s="14" t="s">
        <v>34</v>
      </c>
      <c r="B4" s="27" t="n">
        <v>8729</v>
      </c>
      <c r="C4" s="28" t="n">
        <v>4968</v>
      </c>
      <c r="D4" s="28" t="n">
        <v>2590.7</v>
      </c>
      <c r="E4" s="28" t="n">
        <v>5674</v>
      </c>
      <c r="F4" s="28" t="n">
        <v>5500</v>
      </c>
      <c r="G4" s="28" t="n">
        <v>5400</v>
      </c>
      <c r="H4" s="29"/>
      <c r="I4" s="30" t="n">
        <v>2590.7</v>
      </c>
      <c r="J4" s="18" t="s">
        <v>25</v>
      </c>
      <c r="K4" s="19"/>
      <c r="L4" s="20" t="n">
        <v>-0.430862641768817</v>
      </c>
      <c r="M4" s="20" t="n">
        <v>-0.703207698476343</v>
      </c>
      <c r="N4" s="20" t="n">
        <v>-0.34998281590102</v>
      </c>
      <c r="O4" s="20" t="n">
        <v>-0.369916370718295</v>
      </c>
      <c r="P4" s="20" t="n">
        <v>-0.381372436705236</v>
      </c>
      <c r="Q4" s="31" t="n">
        <f aca="false">R4+S4</f>
        <v>0</v>
      </c>
      <c r="R4" s="31" t="n">
        <v>0</v>
      </c>
      <c r="S4" s="31" t="n">
        <v>0</v>
      </c>
    </row>
    <row r="5" customFormat="false" ht="15" hidden="false" customHeight="false" outlineLevel="0" collapsed="false">
      <c r="A5" s="14" t="s">
        <v>35</v>
      </c>
      <c r="B5" s="27" t="n">
        <v>4364</v>
      </c>
      <c r="C5" s="28" t="n">
        <v>1288</v>
      </c>
      <c r="D5" s="28" t="n">
        <v>1619.1</v>
      </c>
      <c r="E5" s="28" t="n">
        <v>2837</v>
      </c>
      <c r="F5" s="28" t="n">
        <v>3500</v>
      </c>
      <c r="G5" s="28" t="n">
        <v>1900</v>
      </c>
      <c r="H5" s="29"/>
      <c r="I5" s="30" t="n">
        <v>1288</v>
      </c>
      <c r="J5" s="18" t="s">
        <v>24</v>
      </c>
      <c r="K5" s="19"/>
      <c r="L5" s="20" t="n">
        <v>-0.704857928505958</v>
      </c>
      <c r="M5" s="20" t="n">
        <v>-0.628987167736022</v>
      </c>
      <c r="N5" s="20" t="n">
        <v>-0.349908340971586</v>
      </c>
      <c r="O5" s="20" t="n">
        <v>-0.197983501374885</v>
      </c>
      <c r="P5" s="20" t="n">
        <v>-0.564619615032081</v>
      </c>
      <c r="Q5" s="31" t="n">
        <f aca="false">R5+S5</f>
        <v>0</v>
      </c>
      <c r="R5" s="31" t="n">
        <v>0</v>
      </c>
      <c r="S5" s="31" t="n">
        <v>0</v>
      </c>
    </row>
    <row r="6" customFormat="false" ht="15" hidden="false" customHeight="false" outlineLevel="0" collapsed="false">
      <c r="A6" s="14" t="s">
        <v>36</v>
      </c>
      <c r="B6" s="27" t="n">
        <v>6546</v>
      </c>
      <c r="C6" s="28" t="n">
        <v>2392</v>
      </c>
      <c r="D6" s="28" t="n">
        <v>2428.65</v>
      </c>
      <c r="E6" s="28" t="n">
        <v>4255</v>
      </c>
      <c r="F6" s="28" t="n">
        <v>4000</v>
      </c>
      <c r="G6" s="28" t="n">
        <v>4540</v>
      </c>
      <c r="H6" s="29"/>
      <c r="I6" s="30" t="n">
        <v>2392</v>
      </c>
      <c r="J6" s="18" t="s">
        <v>24</v>
      </c>
      <c r="K6" s="19"/>
      <c r="L6" s="20" t="n">
        <v>-0.634586006721662</v>
      </c>
      <c r="M6" s="20" t="n">
        <v>-0.628987167736022</v>
      </c>
      <c r="N6" s="20" t="n">
        <v>-0.349984723495264</v>
      </c>
      <c r="O6" s="20" t="n">
        <v>-0.388939810571341</v>
      </c>
      <c r="P6" s="20" t="n">
        <v>-0.306446684998472</v>
      </c>
      <c r="Q6" s="31" t="n">
        <f aca="false">R6+S6</f>
        <v>0</v>
      </c>
      <c r="R6" s="31" t="n">
        <v>0</v>
      </c>
      <c r="S6" s="31" t="n">
        <v>0</v>
      </c>
    </row>
    <row r="7" customFormat="false" ht="15" hidden="false" customHeight="false" outlineLevel="0" collapsed="false">
      <c r="A7" s="14" t="s">
        <v>37</v>
      </c>
      <c r="B7" s="27" t="n">
        <v>844</v>
      </c>
      <c r="C7" s="28" t="n">
        <v>552</v>
      </c>
      <c r="D7" s="28" t="n">
        <v>2920.05</v>
      </c>
      <c r="E7" s="28" t="n">
        <v>549</v>
      </c>
      <c r="F7" s="28" t="n">
        <v>4000</v>
      </c>
      <c r="G7" s="28" t="n">
        <v>562.67</v>
      </c>
      <c r="H7" s="29"/>
      <c r="I7" s="30" t="n">
        <v>549</v>
      </c>
      <c r="J7" s="18" t="s">
        <v>26</v>
      </c>
      <c r="K7" s="19"/>
      <c r="L7" s="20" t="n">
        <v>-0.345971563981043</v>
      </c>
      <c r="M7" s="20" t="n">
        <v>2.45977488151659</v>
      </c>
      <c r="N7" s="20" t="n">
        <v>-0.349526066350711</v>
      </c>
      <c r="O7" s="20" t="n">
        <v>3.739336492891</v>
      </c>
      <c r="P7" s="20" t="n">
        <v>-0.333329383886256</v>
      </c>
      <c r="Q7" s="31" t="n">
        <f aca="false">R7+S7</f>
        <v>579</v>
      </c>
      <c r="R7" s="31" t="n">
        <v>3</v>
      </c>
      <c r="S7" s="31" t="n">
        <v>576</v>
      </c>
    </row>
    <row r="8" customFormat="false" ht="15" hidden="false" customHeight="false" outlineLevel="0" collapsed="false">
      <c r="A8" s="14" t="s">
        <v>38</v>
      </c>
      <c r="B8" s="27" t="n">
        <v>7946</v>
      </c>
      <c r="C8" s="28" t="n">
        <v>2208</v>
      </c>
      <c r="D8" s="28" t="n">
        <v>2948.05</v>
      </c>
      <c r="E8" s="28" t="n">
        <v>5165</v>
      </c>
      <c r="F8" s="28" t="n">
        <v>6000</v>
      </c>
      <c r="G8" s="32"/>
      <c r="H8" s="29"/>
      <c r="I8" s="30" t="n">
        <v>2208</v>
      </c>
      <c r="J8" s="18" t="s">
        <v>24</v>
      </c>
      <c r="K8" s="19"/>
      <c r="L8" s="20" t="n">
        <v>-0.722124339290209</v>
      </c>
      <c r="M8" s="20" t="n">
        <v>-0.628989428643343</v>
      </c>
      <c r="N8" s="20" t="n">
        <v>-0.349987415051598</v>
      </c>
      <c r="O8" s="20" t="n">
        <v>-0.244903095897307</v>
      </c>
      <c r="P8" s="20" t="n">
        <v>-1</v>
      </c>
      <c r="Q8" s="31" t="n">
        <f aca="false">R8+S8</f>
        <v>0</v>
      </c>
      <c r="R8" s="31" t="n">
        <v>0</v>
      </c>
      <c r="S8" s="31" t="n">
        <v>0</v>
      </c>
    </row>
    <row r="9" customFormat="false" ht="15" hidden="false" customHeight="false" outlineLevel="0" collapsed="false">
      <c r="A9" s="14" t="s">
        <v>39</v>
      </c>
      <c r="B9" s="27" t="n">
        <v>13554</v>
      </c>
      <c r="C9" s="28" t="n">
        <v>4968</v>
      </c>
      <c r="D9" s="28" t="n">
        <v>5028.45</v>
      </c>
      <c r="E9" s="28" t="n">
        <v>8810</v>
      </c>
      <c r="F9" s="28" t="n">
        <v>11000</v>
      </c>
      <c r="G9" s="28" t="n">
        <v>8800</v>
      </c>
      <c r="H9" s="29"/>
      <c r="I9" s="30" t="n">
        <v>4968</v>
      </c>
      <c r="J9" s="18" t="s">
        <v>24</v>
      </c>
      <c r="K9" s="19"/>
      <c r="L9" s="20" t="n">
        <v>-0.633466135458167</v>
      </c>
      <c r="M9" s="20" t="n">
        <v>-0.629006197432492</v>
      </c>
      <c r="N9" s="20" t="n">
        <v>-0.350007377895824</v>
      </c>
      <c r="O9" s="20" t="n">
        <v>-0.188431459347794</v>
      </c>
      <c r="P9" s="20" t="n">
        <v>-0.350745167478235</v>
      </c>
      <c r="Q9" s="31" t="n">
        <f aca="false">R9+S9</f>
        <v>17</v>
      </c>
      <c r="R9" s="31" t="n">
        <v>17</v>
      </c>
      <c r="S9" s="31" t="n">
        <v>0</v>
      </c>
    </row>
    <row r="10" customFormat="false" ht="15" hidden="false" customHeight="false" outlineLevel="0" collapsed="false">
      <c r="A10" s="14" t="s">
        <v>40</v>
      </c>
      <c r="B10" s="27" t="n">
        <v>27108</v>
      </c>
      <c r="C10" s="28" t="n">
        <v>1840</v>
      </c>
      <c r="D10" s="28" t="n">
        <v>10056.9</v>
      </c>
      <c r="E10" s="28" t="n">
        <v>17620</v>
      </c>
      <c r="F10" s="28" t="n">
        <v>18000</v>
      </c>
      <c r="G10" s="28" t="n">
        <v>25800</v>
      </c>
      <c r="H10" s="29"/>
      <c r="I10" s="30" t="n">
        <v>1840</v>
      </c>
      <c r="J10" s="18" t="s">
        <v>24</v>
      </c>
      <c r="K10" s="19"/>
      <c r="L10" s="20" t="n">
        <v>-0.932123358418179</v>
      </c>
      <c r="M10" s="20" t="n">
        <v>-0.629006197432492</v>
      </c>
      <c r="N10" s="20" t="n">
        <v>-0.350007377895824</v>
      </c>
      <c r="O10" s="20" t="n">
        <v>-0.335989375830013</v>
      </c>
      <c r="P10" s="20" t="n">
        <v>-0.0482514386896857</v>
      </c>
      <c r="Q10" s="31" t="n">
        <f aca="false">R10+S10</f>
        <v>5</v>
      </c>
      <c r="R10" s="31" t="n">
        <v>5</v>
      </c>
      <c r="S10" s="31" t="n">
        <v>0</v>
      </c>
    </row>
    <row r="11" customFormat="false" ht="15" hidden="false" customHeight="false" outlineLevel="0" collapsed="false">
      <c r="A11" s="14" t="s">
        <v>41</v>
      </c>
      <c r="B11" s="27" t="n">
        <v>14545</v>
      </c>
      <c r="C11" s="28" t="n">
        <v>1104</v>
      </c>
      <c r="D11" s="28" t="n">
        <v>5396.3</v>
      </c>
      <c r="E11" s="28" t="n">
        <v>9454</v>
      </c>
      <c r="F11" s="28" t="n">
        <v>9000</v>
      </c>
      <c r="G11" s="28" t="n">
        <v>12000</v>
      </c>
      <c r="H11" s="29"/>
      <c r="I11" s="30" t="n">
        <v>1104</v>
      </c>
      <c r="J11" s="18" t="s">
        <v>24</v>
      </c>
      <c r="K11" s="19"/>
      <c r="L11" s="20" t="n">
        <v>-0.924097628050877</v>
      </c>
      <c r="M11" s="20" t="n">
        <v>-0.628992781024407</v>
      </c>
      <c r="N11" s="20" t="n">
        <v>-0.350017188037126</v>
      </c>
      <c r="O11" s="20" t="n">
        <v>-0.381230663458233</v>
      </c>
      <c r="P11" s="20" t="n">
        <v>-0.174974217944311</v>
      </c>
      <c r="Q11" s="31" t="n">
        <f aca="false">R11+S11</f>
        <v>0</v>
      </c>
      <c r="R11" s="31" t="n">
        <v>0</v>
      </c>
      <c r="S11" s="31" t="n">
        <v>0</v>
      </c>
    </row>
    <row r="12" customFormat="false" ht="15" hidden="false" customHeight="false" outlineLevel="0" collapsed="false">
      <c r="A12" s="14" t="s">
        <v>42</v>
      </c>
      <c r="B12" s="27" t="n">
        <v>11785</v>
      </c>
      <c r="C12" s="28" t="n">
        <v>736</v>
      </c>
      <c r="D12" s="28" t="n">
        <v>4372.2</v>
      </c>
      <c r="E12" s="28" t="n">
        <v>7660</v>
      </c>
      <c r="F12" s="28" t="n">
        <v>8000</v>
      </c>
      <c r="G12" s="28" t="n">
        <v>7890</v>
      </c>
      <c r="H12" s="29"/>
      <c r="I12" s="30" t="n">
        <v>736</v>
      </c>
      <c r="J12" s="18" t="s">
        <v>24</v>
      </c>
      <c r="K12" s="19"/>
      <c r="L12" s="20" t="n">
        <v>-0.937547730165465</v>
      </c>
      <c r="M12" s="20" t="n">
        <v>-0.629002969876962</v>
      </c>
      <c r="N12" s="20" t="n">
        <v>-0.350021213406873</v>
      </c>
      <c r="O12" s="20" t="n">
        <v>-0.321170980059398</v>
      </c>
      <c r="P12" s="20" t="n">
        <v>-0.330504879083581</v>
      </c>
      <c r="Q12" s="31" t="n">
        <f aca="false">R12+S12</f>
        <v>0</v>
      </c>
      <c r="R12" s="31" t="n">
        <v>0</v>
      </c>
      <c r="S12" s="31" t="n">
        <v>0</v>
      </c>
    </row>
    <row r="13" customFormat="false" ht="15" hidden="false" customHeight="false" outlineLevel="0" collapsed="false">
      <c r="A13" s="14" t="s">
        <v>43</v>
      </c>
      <c r="B13" s="27" t="n">
        <v>117535</v>
      </c>
      <c r="C13" s="28" t="n">
        <v>35000</v>
      </c>
      <c r="D13" s="28" t="n">
        <v>10901.45</v>
      </c>
      <c r="E13" s="28" t="n">
        <v>19100</v>
      </c>
      <c r="F13" s="28" t="n">
        <v>18000</v>
      </c>
      <c r="G13" s="28" t="n">
        <v>25000</v>
      </c>
      <c r="H13" s="29"/>
      <c r="I13" s="30" t="n">
        <v>10901.45</v>
      </c>
      <c r="J13" s="18" t="s">
        <v>25</v>
      </c>
      <c r="K13" s="19"/>
      <c r="L13" s="20" t="n">
        <v>-0.702216361083933</v>
      </c>
      <c r="M13" s="20" t="n">
        <v>-0.907249329986812</v>
      </c>
      <c r="N13" s="20" t="n">
        <v>-0.837495214191517</v>
      </c>
      <c r="O13" s="20" t="n">
        <v>-0.846854128557451</v>
      </c>
      <c r="P13" s="20" t="n">
        <v>-0.787297400774238</v>
      </c>
      <c r="Q13" s="31" t="n">
        <f aca="false">R13+S13</f>
        <v>1</v>
      </c>
      <c r="R13" s="31" t="n">
        <v>1</v>
      </c>
      <c r="S13" s="31" t="n">
        <v>0</v>
      </c>
    </row>
    <row r="14" customFormat="false" ht="15" hidden="false" customHeight="false" outlineLevel="0" collapsed="false">
      <c r="A14" s="14" t="s">
        <v>44</v>
      </c>
      <c r="B14" s="27" t="n">
        <v>58768</v>
      </c>
      <c r="C14" s="28" t="n">
        <v>4416</v>
      </c>
      <c r="D14" s="28" t="n">
        <v>5450.55</v>
      </c>
      <c r="E14" s="28" t="n">
        <v>9550</v>
      </c>
      <c r="F14" s="28" t="n">
        <v>10000</v>
      </c>
      <c r="G14" s="28" t="n">
        <v>12800</v>
      </c>
      <c r="H14" s="29"/>
      <c r="I14" s="30" t="n">
        <v>4416</v>
      </c>
      <c r="J14" s="18" t="s">
        <v>24</v>
      </c>
      <c r="K14" s="19"/>
      <c r="L14" s="20" t="n">
        <v>-0.924857065069426</v>
      </c>
      <c r="M14" s="20" t="n">
        <v>-0.907253096923496</v>
      </c>
      <c r="N14" s="20" t="n">
        <v>-0.837496596787367</v>
      </c>
      <c r="O14" s="20" t="n">
        <v>-0.829839368363735</v>
      </c>
      <c r="P14" s="20" t="n">
        <v>-0.782194391505581</v>
      </c>
      <c r="Q14" s="31" t="n">
        <f aca="false">R14+S14</f>
        <v>8</v>
      </c>
      <c r="R14" s="31" t="n">
        <v>8</v>
      </c>
      <c r="S14" s="31" t="n">
        <v>0</v>
      </c>
    </row>
    <row r="15" customFormat="false" ht="15" hidden="false" customHeight="false" outlineLevel="0" collapsed="false">
      <c r="A15" s="14" t="s">
        <v>45</v>
      </c>
      <c r="B15" s="27" t="n">
        <v>41136</v>
      </c>
      <c r="C15" s="28" t="n">
        <v>15000</v>
      </c>
      <c r="D15" s="28" t="n">
        <v>3816.05</v>
      </c>
      <c r="E15" s="28" t="n">
        <v>6686</v>
      </c>
      <c r="F15" s="28" t="n">
        <v>8000</v>
      </c>
      <c r="G15" s="28" t="n">
        <v>8760</v>
      </c>
      <c r="H15" s="29"/>
      <c r="I15" s="30" t="n">
        <v>3816.05</v>
      </c>
      <c r="J15" s="18" t="s">
        <v>25</v>
      </c>
      <c r="K15" s="19"/>
      <c r="L15" s="20" t="n">
        <v>-0.635355892648775</v>
      </c>
      <c r="M15" s="20" t="n">
        <v>-0.907233323609491</v>
      </c>
      <c r="N15" s="20" t="n">
        <v>-0.837465966549981</v>
      </c>
      <c r="O15" s="20" t="n">
        <v>-0.805523142746013</v>
      </c>
      <c r="P15" s="20" t="n">
        <v>-0.787047841306884</v>
      </c>
      <c r="Q15" s="31" t="n">
        <f aca="false">R15+S15</f>
        <v>17</v>
      </c>
      <c r="R15" s="31" t="n">
        <v>17</v>
      </c>
      <c r="S15" s="31" t="n">
        <v>0</v>
      </c>
    </row>
    <row r="16" customFormat="false" ht="15" hidden="false" customHeight="false" outlineLevel="0" collapsed="false">
      <c r="A16" s="14" t="s">
        <v>46</v>
      </c>
      <c r="B16" s="27" t="n">
        <v>41136</v>
      </c>
      <c r="C16" s="28" t="n">
        <v>5500</v>
      </c>
      <c r="D16" s="28" t="n">
        <v>15261.75</v>
      </c>
      <c r="E16" s="28" t="n">
        <v>26738</v>
      </c>
      <c r="F16" s="28" t="n">
        <v>28000</v>
      </c>
      <c r="G16" s="28" t="n">
        <v>37258</v>
      </c>
      <c r="H16" s="29"/>
      <c r="I16" s="30" t="n">
        <v>5500</v>
      </c>
      <c r="J16" s="18" t="s">
        <v>24</v>
      </c>
      <c r="K16" s="19"/>
      <c r="L16" s="20" t="n">
        <v>-0.866297160637884</v>
      </c>
      <c r="M16" s="20" t="n">
        <v>-0.628992852975496</v>
      </c>
      <c r="N16" s="20" t="n">
        <v>-0.350009723842863</v>
      </c>
      <c r="O16" s="20" t="n">
        <v>-0.319330999611046</v>
      </c>
      <c r="P16" s="20" t="n">
        <v>-0.0942726565538701</v>
      </c>
      <c r="Q16" s="31" t="n">
        <f aca="false">R16+S16</f>
        <v>0</v>
      </c>
      <c r="R16" s="31" t="n">
        <v>0</v>
      </c>
      <c r="S16" s="31" t="n">
        <v>0</v>
      </c>
    </row>
    <row r="17" customFormat="false" ht="15" hidden="false" customHeight="false" outlineLevel="0" collapsed="false">
      <c r="A17" s="14" t="s">
        <v>47</v>
      </c>
      <c r="B17" s="27" t="n">
        <v>58766</v>
      </c>
      <c r="C17" s="28" t="n">
        <v>6500</v>
      </c>
      <c r="D17" s="28" t="n">
        <v>21802.2</v>
      </c>
      <c r="E17" s="28" t="n">
        <v>38198</v>
      </c>
      <c r="F17" s="28" t="n">
        <v>35000</v>
      </c>
      <c r="G17" s="28" t="n">
        <v>53592</v>
      </c>
      <c r="H17" s="29"/>
      <c r="I17" s="30" t="n">
        <v>6500</v>
      </c>
      <c r="J17" s="18" t="s">
        <v>24</v>
      </c>
      <c r="K17" s="19"/>
      <c r="L17" s="20" t="n">
        <v>-0.889391825205051</v>
      </c>
      <c r="M17" s="20" t="n">
        <v>-0.628999761767008</v>
      </c>
      <c r="N17" s="20" t="n">
        <v>-0.349998298335772</v>
      </c>
      <c r="O17" s="20" t="n">
        <v>-0.404417520334888</v>
      </c>
      <c r="P17" s="20" t="n">
        <v>-0.0880441071367798</v>
      </c>
      <c r="Q17" s="31" t="n">
        <f aca="false">R17+S17</f>
        <v>1</v>
      </c>
      <c r="R17" s="31" t="n">
        <v>1</v>
      </c>
      <c r="S17" s="31" t="n">
        <v>0</v>
      </c>
    </row>
    <row r="18" customFormat="false" ht="15" hidden="false" customHeight="false" outlineLevel="0" collapsed="false">
      <c r="A18" s="14" t="s">
        <v>48</v>
      </c>
      <c r="B18" s="27" t="n">
        <v>29383</v>
      </c>
      <c r="C18" s="28" t="n">
        <v>2500</v>
      </c>
      <c r="D18" s="28" t="n">
        <v>10901.45</v>
      </c>
      <c r="E18" s="28" t="n">
        <v>19099</v>
      </c>
      <c r="F18" s="28" t="n">
        <v>7000</v>
      </c>
      <c r="G18" s="28" t="n">
        <v>26173</v>
      </c>
      <c r="H18" s="29"/>
      <c r="I18" s="30" t="n">
        <v>2500</v>
      </c>
      <c r="J18" s="18" t="s">
        <v>24</v>
      </c>
      <c r="K18" s="19"/>
      <c r="L18" s="20" t="n">
        <v>-0.91491678861927</v>
      </c>
      <c r="M18" s="20" t="n">
        <v>-0.628987850117415</v>
      </c>
      <c r="N18" s="20" t="n">
        <v>-0.349998298335772</v>
      </c>
      <c r="O18" s="20" t="n">
        <v>-0.761767008133955</v>
      </c>
      <c r="P18" s="20" t="n">
        <v>-0.109246843412858</v>
      </c>
      <c r="Q18" s="31" t="n">
        <f aca="false">R18+S18</f>
        <v>0</v>
      </c>
      <c r="R18" s="31" t="n">
        <v>0</v>
      </c>
      <c r="S18" s="31" t="n">
        <v>0</v>
      </c>
    </row>
    <row r="19" customFormat="false" ht="15" hidden="false" customHeight="false" outlineLevel="0" collapsed="false">
      <c r="A19" s="14" t="s">
        <v>49</v>
      </c>
      <c r="B19" s="27" t="n">
        <v>25754</v>
      </c>
      <c r="C19" s="28" t="n">
        <v>4416</v>
      </c>
      <c r="D19" s="28" t="n">
        <v>1359.4</v>
      </c>
      <c r="E19" s="28" t="n">
        <v>16740</v>
      </c>
      <c r="F19" s="28" t="n">
        <v>18000</v>
      </c>
      <c r="G19" s="28" t="n">
        <v>13400</v>
      </c>
      <c r="H19" s="29"/>
      <c r="I19" s="30" t="n">
        <v>1359.4</v>
      </c>
      <c r="J19" s="18" t="s">
        <v>25</v>
      </c>
      <c r="K19" s="19"/>
      <c r="L19" s="20" t="n">
        <v>-0.828531490253941</v>
      </c>
      <c r="M19" s="20" t="n">
        <v>-0.947215966451813</v>
      </c>
      <c r="N19" s="20" t="n">
        <v>-0.350003882891978</v>
      </c>
      <c r="O19" s="20" t="n">
        <v>-0.301079443969869</v>
      </c>
      <c r="P19" s="20" t="n">
        <v>-0.479692474955347</v>
      </c>
      <c r="Q19" s="31" t="n">
        <f aca="false">R19+S19</f>
        <v>10</v>
      </c>
      <c r="R19" s="31" t="n">
        <v>10</v>
      </c>
      <c r="S19" s="31" t="n">
        <v>0</v>
      </c>
    </row>
    <row r="20" customFormat="false" ht="15" hidden="false" customHeight="false" outlineLevel="0" collapsed="false">
      <c r="A20" s="14" t="s">
        <v>50</v>
      </c>
      <c r="B20" s="27" t="n">
        <v>20767</v>
      </c>
      <c r="C20" s="28" t="n">
        <v>367</v>
      </c>
      <c r="D20" s="28" t="n">
        <v>7704.55</v>
      </c>
      <c r="E20" s="28" t="n">
        <v>13499</v>
      </c>
      <c r="F20" s="28" t="n">
        <v>15000</v>
      </c>
      <c r="G20" s="28" t="n">
        <v>19500</v>
      </c>
      <c r="H20" s="29"/>
      <c r="I20" s="30" t="n">
        <v>367</v>
      </c>
      <c r="J20" s="18" t="s">
        <v>24</v>
      </c>
      <c r="K20" s="19"/>
      <c r="L20" s="20" t="n">
        <v>-0.982327731497087</v>
      </c>
      <c r="M20" s="20" t="n">
        <v>-0.629000337073241</v>
      </c>
      <c r="N20" s="20" t="n">
        <v>-0.349978331005923</v>
      </c>
      <c r="O20" s="20" t="n">
        <v>-0.277700197428613</v>
      </c>
      <c r="P20" s="20" t="n">
        <v>-0.0610102566571965</v>
      </c>
      <c r="Q20" s="31" t="n">
        <f aca="false">R20+S20</f>
        <v>1</v>
      </c>
      <c r="R20" s="31" t="n">
        <v>1</v>
      </c>
      <c r="S20" s="31" t="n">
        <v>0</v>
      </c>
    </row>
    <row r="21" customFormat="false" ht="15" hidden="false" customHeight="false" outlineLevel="0" collapsed="false">
      <c r="A21" s="14" t="s">
        <v>51</v>
      </c>
      <c r="B21" s="27" t="n">
        <v>14692</v>
      </c>
      <c r="C21" s="28" t="n">
        <v>5500</v>
      </c>
      <c r="D21" s="28" t="n">
        <v>5450.55</v>
      </c>
      <c r="E21" s="28" t="n">
        <v>9550</v>
      </c>
      <c r="F21" s="28" t="n">
        <v>11000</v>
      </c>
      <c r="G21" s="28" t="n">
        <v>4200</v>
      </c>
      <c r="H21" s="29"/>
      <c r="I21" s="30" t="n">
        <v>4200</v>
      </c>
      <c r="J21" s="18" t="s">
        <v>28</v>
      </c>
      <c r="K21" s="19"/>
      <c r="L21" s="20" t="n">
        <v>-0.625646610400218</v>
      </c>
      <c r="M21" s="20" t="n">
        <v>-0.629012387693983</v>
      </c>
      <c r="N21" s="20" t="n">
        <v>-0.349986387149469</v>
      </c>
      <c r="O21" s="20" t="n">
        <v>-0.251293220800436</v>
      </c>
      <c r="P21" s="20" t="n">
        <v>-0.714130138851076</v>
      </c>
      <c r="Q21" s="31" t="n">
        <f aca="false">R21+S21</f>
        <v>4</v>
      </c>
      <c r="R21" s="31" t="n">
        <v>4</v>
      </c>
      <c r="S21" s="31" t="n">
        <v>0</v>
      </c>
    </row>
    <row r="22" customFormat="false" ht="15" hidden="false" customHeight="false" outlineLevel="0" collapsed="false">
      <c r="A22" s="14" t="s">
        <v>52</v>
      </c>
      <c r="B22" s="27" t="n">
        <v>11455</v>
      </c>
      <c r="C22" s="28" t="n">
        <v>4048</v>
      </c>
      <c r="D22" s="28" t="n">
        <v>4250.05</v>
      </c>
      <c r="E22" s="28" t="n">
        <v>7446</v>
      </c>
      <c r="F22" s="28" t="n">
        <v>8000</v>
      </c>
      <c r="G22" s="28" t="n">
        <v>2800</v>
      </c>
      <c r="H22" s="29"/>
      <c r="I22" s="30" t="n">
        <v>2800</v>
      </c>
      <c r="J22" s="18" t="s">
        <v>28</v>
      </c>
      <c r="K22" s="19"/>
      <c r="L22" s="20" t="n">
        <v>-0.646617197730249</v>
      </c>
      <c r="M22" s="20" t="n">
        <v>-0.628978611959843</v>
      </c>
      <c r="N22" s="20" t="n">
        <v>-0.349978175469227</v>
      </c>
      <c r="O22" s="20" t="n">
        <v>-0.301615015277172</v>
      </c>
      <c r="P22" s="20" t="n">
        <v>-0.75556525534701</v>
      </c>
      <c r="Q22" s="31" t="n">
        <f aca="false">R22+S22</f>
        <v>4</v>
      </c>
      <c r="R22" s="31" t="n">
        <v>4</v>
      </c>
      <c r="S22" s="31" t="n">
        <v>0</v>
      </c>
    </row>
    <row r="23" customFormat="false" ht="15" hidden="false" customHeight="false" outlineLevel="0" collapsed="false">
      <c r="A23" s="14" t="s">
        <v>53</v>
      </c>
      <c r="B23" s="27" t="n">
        <v>6615</v>
      </c>
      <c r="C23" s="28" t="n">
        <v>4500</v>
      </c>
      <c r="D23" s="28" t="n">
        <v>2454.2</v>
      </c>
      <c r="E23" s="28" t="n">
        <v>4300</v>
      </c>
      <c r="F23" s="28" t="n">
        <v>5000</v>
      </c>
      <c r="G23" s="28" t="n">
        <v>10900</v>
      </c>
      <c r="H23" s="29"/>
      <c r="I23" s="30" t="n">
        <v>2454.2</v>
      </c>
      <c r="J23" s="18" t="s">
        <v>25</v>
      </c>
      <c r="K23" s="19"/>
      <c r="L23" s="20" t="n">
        <v>-0.319727891156463</v>
      </c>
      <c r="M23" s="20" t="n">
        <v>-0.628994708994709</v>
      </c>
      <c r="N23" s="20" t="n">
        <v>-0.349962207105064</v>
      </c>
      <c r="O23" s="20" t="n">
        <v>-0.244142101284958</v>
      </c>
      <c r="P23" s="20" t="n">
        <v>0.647770219198791</v>
      </c>
      <c r="Q23" s="31" t="n">
        <f aca="false">R23+S23</f>
        <v>12</v>
      </c>
      <c r="R23" s="31" t="n">
        <v>12</v>
      </c>
      <c r="S23" s="31" t="n">
        <v>0</v>
      </c>
    </row>
    <row r="24" customFormat="false" ht="15" hidden="false" customHeight="false" outlineLevel="0" collapsed="false">
      <c r="A24" s="14" t="s">
        <v>54</v>
      </c>
      <c r="B24" s="27" t="n">
        <v>5715</v>
      </c>
      <c r="C24" s="28" t="n">
        <v>1104</v>
      </c>
      <c r="D24" s="28" t="n">
        <v>2120.3</v>
      </c>
      <c r="E24" s="28" t="n">
        <v>3715</v>
      </c>
      <c r="F24" s="28" t="n">
        <v>4000</v>
      </c>
      <c r="G24" s="28" t="n">
        <v>2187</v>
      </c>
      <c r="H24" s="29"/>
      <c r="I24" s="30" t="n">
        <v>1104</v>
      </c>
      <c r="J24" s="18" t="s">
        <v>24</v>
      </c>
      <c r="K24" s="19"/>
      <c r="L24" s="20" t="n">
        <v>-0.806824146981627</v>
      </c>
      <c r="M24" s="20" t="n">
        <v>-0.628993875765529</v>
      </c>
      <c r="N24" s="20" t="n">
        <v>-0.349956255468067</v>
      </c>
      <c r="O24" s="20" t="n">
        <v>-0.300087489063867</v>
      </c>
      <c r="P24" s="20" t="n">
        <v>-0.617322834645669</v>
      </c>
      <c r="Q24" s="31" t="n">
        <f aca="false">R24+S24</f>
        <v>35</v>
      </c>
      <c r="R24" s="31" t="n">
        <v>35</v>
      </c>
      <c r="S24" s="31" t="n">
        <v>0</v>
      </c>
    </row>
    <row r="25" customFormat="false" ht="15" hidden="false" customHeight="false" outlineLevel="0" collapsed="false">
      <c r="A25" s="14" t="s">
        <v>55</v>
      </c>
      <c r="B25" s="27" t="n">
        <v>4572</v>
      </c>
      <c r="C25" s="28" t="n">
        <v>1656</v>
      </c>
      <c r="D25" s="28" t="n">
        <v>1696.1</v>
      </c>
      <c r="E25" s="28" t="n">
        <v>2972</v>
      </c>
      <c r="F25" s="28" t="n">
        <v>3500</v>
      </c>
      <c r="G25" s="28" t="n">
        <v>1700</v>
      </c>
      <c r="H25" s="29"/>
      <c r="I25" s="30" t="n">
        <v>1656</v>
      </c>
      <c r="J25" s="18" t="s">
        <v>24</v>
      </c>
      <c r="K25" s="19"/>
      <c r="L25" s="20" t="n">
        <v>-0.637795275590551</v>
      </c>
      <c r="M25" s="20" t="n">
        <v>-0.629024496937883</v>
      </c>
      <c r="N25" s="20" t="n">
        <v>-0.349956255468067</v>
      </c>
      <c r="O25" s="20" t="n">
        <v>-0.234470691163605</v>
      </c>
      <c r="P25" s="20" t="n">
        <v>-0.628171478565179</v>
      </c>
      <c r="Q25" s="31" t="n">
        <f aca="false">R25+S25</f>
        <v>13</v>
      </c>
      <c r="R25" s="31" t="n">
        <v>13</v>
      </c>
      <c r="S25" s="31" t="n">
        <v>0</v>
      </c>
    </row>
    <row r="26" customFormat="false" ht="15" hidden="false" customHeight="false" outlineLevel="0" collapsed="false">
      <c r="A26" s="14" t="s">
        <v>56</v>
      </c>
      <c r="B26" s="27" t="n">
        <v>8868</v>
      </c>
      <c r="C26" s="28" t="n">
        <v>3496</v>
      </c>
      <c r="D26" s="28" t="n">
        <v>3290</v>
      </c>
      <c r="E26" s="28" t="n">
        <v>5764</v>
      </c>
      <c r="F26" s="28" t="n">
        <v>7000</v>
      </c>
      <c r="G26" s="28" t="n">
        <v>3645</v>
      </c>
      <c r="H26" s="29"/>
      <c r="I26" s="30" t="n">
        <v>3290</v>
      </c>
      <c r="J26" s="18" t="s">
        <v>25</v>
      </c>
      <c r="K26" s="19"/>
      <c r="L26" s="20" t="n">
        <v>-0.605773567884529</v>
      </c>
      <c r="M26" s="20" t="n">
        <v>-0.629003157419937</v>
      </c>
      <c r="N26" s="20" t="n">
        <v>-0.350022552999549</v>
      </c>
      <c r="O26" s="20" t="n">
        <v>-0.2106450157871</v>
      </c>
      <c r="P26" s="20" t="n">
        <v>-0.588971583220568</v>
      </c>
      <c r="Q26" s="31" t="n">
        <f aca="false">R26+S26</f>
        <v>15</v>
      </c>
      <c r="R26" s="31" t="n">
        <v>15</v>
      </c>
      <c r="S26" s="31" t="n">
        <v>0</v>
      </c>
    </row>
    <row r="27" customFormat="false" ht="15" hidden="false" customHeight="false" outlineLevel="0" collapsed="false">
      <c r="A27" s="14" t="s">
        <v>57</v>
      </c>
      <c r="B27" s="27" t="n">
        <v>7122</v>
      </c>
      <c r="C27" s="28" t="n">
        <v>1840</v>
      </c>
      <c r="D27" s="28" t="n">
        <v>2642.15</v>
      </c>
      <c r="E27" s="28" t="n">
        <v>4629</v>
      </c>
      <c r="F27" s="28" t="n">
        <v>5000</v>
      </c>
      <c r="G27" s="28" t="n">
        <v>6800</v>
      </c>
      <c r="H27" s="29"/>
      <c r="I27" s="30" t="n">
        <v>1840</v>
      </c>
      <c r="J27" s="18" t="s">
        <v>24</v>
      </c>
      <c r="K27" s="19"/>
      <c r="L27" s="20" t="n">
        <v>-0.741645605167088</v>
      </c>
      <c r="M27" s="20" t="n">
        <v>-0.629015725919686</v>
      </c>
      <c r="N27" s="20" t="n">
        <v>-0.350042122999158</v>
      </c>
      <c r="O27" s="20" t="n">
        <v>-0.297950014041</v>
      </c>
      <c r="P27" s="20" t="n">
        <v>-0.0452120190957597</v>
      </c>
      <c r="Q27" s="31" t="n">
        <f aca="false">R27+S27</f>
        <v>0</v>
      </c>
      <c r="R27" s="31" t="n">
        <v>0</v>
      </c>
      <c r="S27" s="31" t="n">
        <v>0</v>
      </c>
    </row>
    <row r="28" customFormat="false" ht="15" hidden="false" customHeight="false" outlineLevel="0" collapsed="false">
      <c r="A28" s="14" t="s">
        <v>58</v>
      </c>
      <c r="B28" s="27" t="n">
        <v>3824</v>
      </c>
      <c r="C28" s="28" t="n">
        <v>1104</v>
      </c>
      <c r="D28" s="28" t="n">
        <v>1418.9</v>
      </c>
      <c r="E28" s="28" t="n">
        <v>2486</v>
      </c>
      <c r="F28" s="28" t="n">
        <v>2500</v>
      </c>
      <c r="G28" s="28" t="n">
        <v>2430</v>
      </c>
      <c r="H28" s="29"/>
      <c r="I28" s="30" t="n">
        <v>1104</v>
      </c>
      <c r="J28" s="18" t="s">
        <v>24</v>
      </c>
      <c r="K28" s="19"/>
      <c r="L28" s="20" t="n">
        <v>-0.711297071129707</v>
      </c>
      <c r="M28" s="20" t="n">
        <v>-0.628948744769875</v>
      </c>
      <c r="N28" s="20" t="n">
        <v>-0.34989539748954</v>
      </c>
      <c r="O28" s="20" t="n">
        <v>-0.346234309623431</v>
      </c>
      <c r="P28" s="20" t="n">
        <v>-0.364539748953975</v>
      </c>
      <c r="Q28" s="31" t="n">
        <f aca="false">R28+S28</f>
        <v>32</v>
      </c>
      <c r="R28" s="31" t="n">
        <v>11</v>
      </c>
      <c r="S28" s="31" t="n">
        <v>21</v>
      </c>
    </row>
    <row r="29" customFormat="false" ht="15" hidden="false" customHeight="false" outlineLevel="0" collapsed="false">
      <c r="A29" s="14" t="s">
        <v>59</v>
      </c>
      <c r="B29" s="27" t="n">
        <v>11904</v>
      </c>
      <c r="C29" s="28" t="n">
        <v>4048</v>
      </c>
      <c r="D29" s="28" t="n">
        <v>4416.65</v>
      </c>
      <c r="E29" s="28" t="n">
        <v>7738</v>
      </c>
      <c r="F29" s="28" t="n">
        <v>8000</v>
      </c>
      <c r="G29" s="28" t="n">
        <v>6200</v>
      </c>
      <c r="H29" s="29"/>
      <c r="I29" s="30" t="n">
        <v>4048</v>
      </c>
      <c r="J29" s="18" t="s">
        <v>24</v>
      </c>
      <c r="K29" s="19"/>
      <c r="L29" s="20" t="n">
        <v>-0.65994623655914</v>
      </c>
      <c r="M29" s="20" t="n">
        <v>-0.628977654569893</v>
      </c>
      <c r="N29" s="20" t="n">
        <v>-0.349966397849462</v>
      </c>
      <c r="O29" s="20" t="n">
        <v>-0.327956989247312</v>
      </c>
      <c r="P29" s="20" t="n">
        <v>-0.479166666666667</v>
      </c>
      <c r="Q29" s="31" t="n">
        <f aca="false">R29+S29</f>
        <v>6</v>
      </c>
      <c r="R29" s="31" t="n">
        <v>6</v>
      </c>
      <c r="S29" s="31" t="n">
        <v>0</v>
      </c>
    </row>
    <row r="30" customFormat="false" ht="15" hidden="false" customHeight="false" outlineLevel="0" collapsed="false">
      <c r="A30" s="14" t="s">
        <v>60</v>
      </c>
      <c r="B30" s="27" t="n">
        <v>4216</v>
      </c>
      <c r="C30" s="28" t="n">
        <v>1104</v>
      </c>
      <c r="D30" s="28" t="n">
        <v>1564.15</v>
      </c>
      <c r="E30" s="28" t="n">
        <v>826</v>
      </c>
      <c r="F30" s="28" t="n">
        <v>3000</v>
      </c>
      <c r="G30" s="28" t="n">
        <v>1080</v>
      </c>
      <c r="H30" s="29"/>
      <c r="I30" s="30" t="n">
        <v>826</v>
      </c>
      <c r="J30" s="18" t="s">
        <v>26</v>
      </c>
      <c r="K30" s="19"/>
      <c r="L30" s="20" t="n">
        <v>-0.738140417457306</v>
      </c>
      <c r="M30" s="20" t="n">
        <v>-0.628996679316888</v>
      </c>
      <c r="N30" s="20" t="n">
        <v>-0.804079696394687</v>
      </c>
      <c r="O30" s="20" t="n">
        <v>-0.28842504743833</v>
      </c>
      <c r="P30" s="20" t="n">
        <v>-0.743833017077799</v>
      </c>
      <c r="Q30" s="31" t="n">
        <f aca="false">R30+S30</f>
        <v>0</v>
      </c>
      <c r="R30" s="31" t="n">
        <v>0</v>
      </c>
      <c r="S30" s="31" t="n">
        <v>0</v>
      </c>
    </row>
    <row r="31" customFormat="false" ht="15" hidden="false" customHeight="false" outlineLevel="0" collapsed="false">
      <c r="A31" s="14" t="s">
        <v>61</v>
      </c>
      <c r="B31" s="27" t="n">
        <v>25684</v>
      </c>
      <c r="C31" s="28" t="n">
        <v>4784</v>
      </c>
      <c r="D31" s="28" t="n">
        <v>9528.75</v>
      </c>
      <c r="E31" s="28" t="n">
        <v>16695</v>
      </c>
      <c r="F31" s="28" t="n">
        <v>18000</v>
      </c>
      <c r="G31" s="28" t="n">
        <v>18900</v>
      </c>
      <c r="H31" s="29"/>
      <c r="I31" s="30" t="n">
        <v>4784</v>
      </c>
      <c r="J31" s="18" t="s">
        <v>24</v>
      </c>
      <c r="K31" s="19"/>
      <c r="L31" s="20" t="n">
        <v>-0.813736178165395</v>
      </c>
      <c r="M31" s="20" t="n">
        <v>-0.629000545086435</v>
      </c>
      <c r="N31" s="20" t="n">
        <v>-0.349984426101853</v>
      </c>
      <c r="O31" s="20" t="n">
        <v>-0.299174583398225</v>
      </c>
      <c r="P31" s="20" t="n">
        <v>-0.264133312568136</v>
      </c>
      <c r="Q31" s="31" t="n">
        <f aca="false">R31+S31</f>
        <v>3</v>
      </c>
      <c r="R31" s="31" t="n">
        <v>3</v>
      </c>
      <c r="S31" s="31" t="n">
        <v>0</v>
      </c>
    </row>
    <row r="32" customFormat="false" ht="15" hidden="false" customHeight="false" outlineLevel="0" collapsed="false">
      <c r="A32" s="14" t="s">
        <v>62</v>
      </c>
      <c r="B32" s="27" t="n">
        <v>5137</v>
      </c>
      <c r="C32" s="28" t="n">
        <v>368</v>
      </c>
      <c r="D32" s="28" t="n">
        <v>1905.75</v>
      </c>
      <c r="E32" s="28" t="n">
        <v>3339</v>
      </c>
      <c r="F32" s="28" t="n">
        <v>3500</v>
      </c>
      <c r="G32" s="28" t="n">
        <v>880</v>
      </c>
      <c r="H32" s="29"/>
      <c r="I32" s="30" t="n">
        <v>368</v>
      </c>
      <c r="J32" s="18" t="s">
        <v>24</v>
      </c>
      <c r="K32" s="19"/>
      <c r="L32" s="20" t="n">
        <v>-0.928362857699046</v>
      </c>
      <c r="M32" s="20" t="n">
        <v>-0.629014989293362</v>
      </c>
      <c r="N32" s="20" t="n">
        <v>-0.350009733307378</v>
      </c>
      <c r="O32" s="20" t="n">
        <v>-0.318668483550711</v>
      </c>
      <c r="P32" s="20" t="n">
        <v>-0.828693790149893</v>
      </c>
      <c r="Q32" s="31" t="n">
        <f aca="false">R32+S32</f>
        <v>0</v>
      </c>
      <c r="R32" s="31" t="n">
        <v>0</v>
      </c>
      <c r="S32" s="31" t="n">
        <v>0</v>
      </c>
    </row>
    <row r="33" customFormat="false" ht="15" hidden="false" customHeight="false" outlineLevel="0" collapsed="false">
      <c r="A33" s="14" t="s">
        <v>63</v>
      </c>
      <c r="B33" s="27" t="n">
        <v>25419</v>
      </c>
      <c r="C33" s="28" t="n">
        <v>8096</v>
      </c>
      <c r="D33" s="28" t="n">
        <v>6565.3</v>
      </c>
      <c r="E33" s="28" t="n">
        <v>11502</v>
      </c>
      <c r="F33" s="28" t="n">
        <v>14000</v>
      </c>
      <c r="G33" s="28" t="n">
        <v>7290</v>
      </c>
      <c r="H33" s="29"/>
      <c r="I33" s="30" t="n">
        <v>6565.3</v>
      </c>
      <c r="J33" s="18" t="s">
        <v>25</v>
      </c>
      <c r="K33" s="19"/>
      <c r="L33" s="20" t="n">
        <v>-0.681498091978441</v>
      </c>
      <c r="M33" s="20" t="n">
        <v>-0.741716825996302</v>
      </c>
      <c r="N33" s="20" t="n">
        <v>-0.547503835713443</v>
      </c>
      <c r="O33" s="20" t="n">
        <v>-0.449230890278925</v>
      </c>
      <c r="P33" s="20" t="n">
        <v>-0.713206656438097</v>
      </c>
      <c r="Q33" s="31" t="n">
        <f aca="false">R33+S33</f>
        <v>3</v>
      </c>
      <c r="R33" s="31" t="n">
        <v>3</v>
      </c>
      <c r="S33" s="31" t="n">
        <v>0</v>
      </c>
    </row>
    <row r="34" customFormat="false" ht="15" hidden="false" customHeight="false" outlineLevel="0" collapsed="false">
      <c r="A34" s="14" t="s">
        <v>64</v>
      </c>
      <c r="B34" s="27" t="n">
        <v>17696</v>
      </c>
      <c r="C34" s="28" t="n">
        <v>3312</v>
      </c>
      <c r="D34" s="28" t="n">
        <v>9430.4</v>
      </c>
      <c r="E34" s="28" t="n">
        <v>16522</v>
      </c>
      <c r="F34" s="28" t="n">
        <v>20000</v>
      </c>
      <c r="G34" s="28" t="n">
        <v>12150</v>
      </c>
      <c r="H34" s="29"/>
      <c r="I34" s="30" t="n">
        <v>3312</v>
      </c>
      <c r="J34" s="18" t="s">
        <v>24</v>
      </c>
      <c r="K34" s="19"/>
      <c r="L34" s="20" t="n">
        <v>-0.812839059674503</v>
      </c>
      <c r="M34" s="20" t="n">
        <v>-0.467088607594937</v>
      </c>
      <c r="N34" s="20" t="n">
        <v>-0.0663426763110308</v>
      </c>
      <c r="O34" s="20" t="n">
        <v>0.130198915009042</v>
      </c>
      <c r="P34" s="20" t="n">
        <v>-0.313404159132007</v>
      </c>
      <c r="Q34" s="31" t="n">
        <f aca="false">R34+S34</f>
        <v>0</v>
      </c>
      <c r="R34" s="31" t="n">
        <v>0</v>
      </c>
      <c r="S34" s="31" t="n">
        <v>0</v>
      </c>
    </row>
    <row r="35" customFormat="false" ht="15" hidden="false" customHeight="false" outlineLevel="0" collapsed="false">
      <c r="A35" s="14" t="s">
        <v>65</v>
      </c>
      <c r="B35" s="27" t="n">
        <v>40957</v>
      </c>
      <c r="C35" s="28" t="n">
        <v>10672</v>
      </c>
      <c r="D35" s="28" t="n">
        <v>15195.25</v>
      </c>
      <c r="E35" s="28" t="n">
        <v>26622</v>
      </c>
      <c r="F35" s="28" t="n">
        <v>30000</v>
      </c>
      <c r="G35" s="28" t="n">
        <v>24300</v>
      </c>
      <c r="H35" s="29"/>
      <c r="I35" s="30" t="n">
        <v>10672</v>
      </c>
      <c r="J35" s="18" t="s">
        <v>24</v>
      </c>
      <c r="K35" s="19"/>
      <c r="L35" s="20" t="n">
        <v>-0.739434040579144</v>
      </c>
      <c r="M35" s="20" t="n">
        <v>-0.628995043582294</v>
      </c>
      <c r="N35" s="20" t="n">
        <v>-0.350001220792539</v>
      </c>
      <c r="O35" s="20" t="n">
        <v>-0.267524476890397</v>
      </c>
      <c r="P35" s="20" t="n">
        <v>-0.406694826281222</v>
      </c>
      <c r="Q35" s="31" t="n">
        <f aca="false">R35+S35</f>
        <v>0</v>
      </c>
      <c r="R35" s="31" t="n">
        <v>0</v>
      </c>
      <c r="S35" s="31" t="n">
        <v>0</v>
      </c>
    </row>
    <row r="36" customFormat="false" ht="15" hidden="false" customHeight="false" outlineLevel="0" collapsed="false">
      <c r="A36" s="14" t="s">
        <v>66</v>
      </c>
      <c r="B36" s="27" t="n">
        <v>19364</v>
      </c>
      <c r="C36" s="28" t="n">
        <v>552</v>
      </c>
      <c r="D36" s="28" t="n">
        <v>7184.1</v>
      </c>
      <c r="E36" s="28" t="n">
        <v>12587</v>
      </c>
      <c r="F36" s="28" t="n">
        <v>9000</v>
      </c>
      <c r="G36" s="28" t="n">
        <v>7800</v>
      </c>
      <c r="H36" s="29"/>
      <c r="I36" s="30" t="n">
        <v>552</v>
      </c>
      <c r="J36" s="18" t="s">
        <v>24</v>
      </c>
      <c r="K36" s="19"/>
      <c r="L36" s="20" t="n">
        <v>-0.971493493079942</v>
      </c>
      <c r="M36" s="20" t="n">
        <v>-0.62899710803553</v>
      </c>
      <c r="N36" s="20" t="n">
        <v>-0.349979343110928</v>
      </c>
      <c r="O36" s="20" t="n">
        <v>-0.535219995868622</v>
      </c>
      <c r="P36" s="20" t="n">
        <v>-0.597190663086139</v>
      </c>
      <c r="Q36" s="31" t="n">
        <f aca="false">R36+S36</f>
        <v>1</v>
      </c>
      <c r="R36" s="31" t="n">
        <v>1</v>
      </c>
      <c r="S36" s="31" t="n">
        <v>0</v>
      </c>
    </row>
    <row r="37" customFormat="false" ht="15" hidden="false" customHeight="false" outlineLevel="0" collapsed="false">
      <c r="A37" s="14" t="s">
        <v>67</v>
      </c>
      <c r="B37" s="27" t="n">
        <v>29043</v>
      </c>
      <c r="C37" s="28" t="n">
        <v>1472</v>
      </c>
      <c r="D37" s="28" t="n">
        <v>10774.75</v>
      </c>
      <c r="E37" s="28" t="n">
        <v>18878</v>
      </c>
      <c r="F37" s="28" t="n">
        <v>18000</v>
      </c>
      <c r="G37" s="28" t="n">
        <v>11000</v>
      </c>
      <c r="H37" s="29"/>
      <c r="I37" s="30" t="n">
        <v>1472</v>
      </c>
      <c r="J37" s="18" t="s">
        <v>24</v>
      </c>
      <c r="K37" s="19"/>
      <c r="L37" s="20" t="n">
        <v>-0.949316530661433</v>
      </c>
      <c r="M37" s="20" t="n">
        <v>-0.629006989636057</v>
      </c>
      <c r="N37" s="20" t="n">
        <v>-0.349998278414764</v>
      </c>
      <c r="O37" s="20" t="n">
        <v>-0.380229315153393</v>
      </c>
      <c r="P37" s="20" t="n">
        <v>-0.621251248149296</v>
      </c>
      <c r="Q37" s="31" t="n">
        <f aca="false">R37+S37</f>
        <v>0</v>
      </c>
      <c r="R37" s="31" t="n">
        <v>0</v>
      </c>
      <c r="S37" s="31" t="n">
        <v>0</v>
      </c>
    </row>
    <row r="38" customFormat="false" ht="15" hidden="false" customHeight="false" outlineLevel="0" collapsed="false">
      <c r="A38" s="14" t="s">
        <v>68</v>
      </c>
      <c r="B38" s="27" t="n">
        <v>29102</v>
      </c>
      <c r="C38" s="28" t="n">
        <v>9568</v>
      </c>
      <c r="D38" s="28" t="n">
        <v>10796.8</v>
      </c>
      <c r="E38" s="28" t="n">
        <v>18916</v>
      </c>
      <c r="F38" s="28" t="n">
        <v>24000</v>
      </c>
      <c r="G38" s="28" t="n">
        <v>60000</v>
      </c>
      <c r="H38" s="29"/>
      <c r="I38" s="30" t="n">
        <v>9568</v>
      </c>
      <c r="J38" s="18" t="s">
        <v>24</v>
      </c>
      <c r="K38" s="19"/>
      <c r="L38" s="20" t="n">
        <v>-0.67122534533709</v>
      </c>
      <c r="M38" s="20" t="n">
        <v>-0.62900144319978</v>
      </c>
      <c r="N38" s="20" t="n">
        <v>-0.350010308569858</v>
      </c>
      <c r="O38" s="20" t="n">
        <v>-0.175314411380661</v>
      </c>
      <c r="P38" s="20" t="n">
        <v>1.06171397154835</v>
      </c>
      <c r="Q38" s="31" t="n">
        <f aca="false">R38+S38</f>
        <v>12</v>
      </c>
      <c r="R38" s="31" t="n">
        <v>12</v>
      </c>
      <c r="S38" s="31" t="n">
        <v>0</v>
      </c>
    </row>
    <row r="39" customFormat="false" ht="15" hidden="false" customHeight="false" outlineLevel="0" collapsed="false">
      <c r="A39" s="14" t="s">
        <v>69</v>
      </c>
      <c r="B39" s="27" t="n">
        <v>19364</v>
      </c>
      <c r="C39" s="28" t="n">
        <v>2024</v>
      </c>
      <c r="D39" s="28" t="n">
        <v>7184.1</v>
      </c>
      <c r="E39" s="28" t="n">
        <v>12587</v>
      </c>
      <c r="F39" s="28" t="n">
        <v>16000</v>
      </c>
      <c r="G39" s="28" t="n">
        <v>12800</v>
      </c>
      <c r="H39" s="29"/>
      <c r="I39" s="30" t="n">
        <v>2024</v>
      </c>
      <c r="J39" s="18" t="s">
        <v>24</v>
      </c>
      <c r="K39" s="19"/>
      <c r="L39" s="20" t="n">
        <v>-0.895476141293121</v>
      </c>
      <c r="M39" s="20" t="n">
        <v>-0.62899710803553</v>
      </c>
      <c r="N39" s="20" t="n">
        <v>-0.349979343110928</v>
      </c>
      <c r="O39" s="20" t="n">
        <v>-0.173724437099773</v>
      </c>
      <c r="P39" s="20" t="n">
        <v>-0.338979549679818</v>
      </c>
      <c r="Q39" s="31" t="n">
        <f aca="false">R39+S39</f>
        <v>0</v>
      </c>
      <c r="R39" s="31" t="n">
        <v>0</v>
      </c>
      <c r="S39" s="31" t="n">
        <v>0</v>
      </c>
    </row>
    <row r="40" customFormat="false" ht="15" hidden="false" customHeight="false" outlineLevel="0" collapsed="false">
      <c r="A40" s="14" t="s">
        <v>70</v>
      </c>
      <c r="B40" s="27" t="n">
        <v>29043</v>
      </c>
      <c r="C40" s="28" t="n">
        <v>4784</v>
      </c>
      <c r="D40" s="28" t="n">
        <v>10774.75</v>
      </c>
      <c r="E40" s="28" t="n">
        <v>18878</v>
      </c>
      <c r="F40" s="28" t="n">
        <v>24000</v>
      </c>
      <c r="G40" s="28" t="n">
        <v>14000</v>
      </c>
      <c r="H40" s="29"/>
      <c r="I40" s="30" t="n">
        <v>4784</v>
      </c>
      <c r="J40" s="18" t="s">
        <v>24</v>
      </c>
      <c r="K40" s="19"/>
      <c r="L40" s="20" t="n">
        <v>-0.835278724649657</v>
      </c>
      <c r="M40" s="20" t="n">
        <v>-0.629006989636057</v>
      </c>
      <c r="N40" s="20" t="n">
        <v>-0.349998278414764</v>
      </c>
      <c r="O40" s="20" t="n">
        <v>-0.173639086871191</v>
      </c>
      <c r="P40" s="20" t="n">
        <v>-0.517956134008195</v>
      </c>
      <c r="Q40" s="31" t="n">
        <f aca="false">R40+S40</f>
        <v>0</v>
      </c>
      <c r="R40" s="31" t="n">
        <v>0</v>
      </c>
      <c r="S40" s="31" t="n">
        <v>0</v>
      </c>
    </row>
    <row r="41" customFormat="false" ht="15" hidden="false" customHeight="false" outlineLevel="0" collapsed="false">
      <c r="A41" s="14" t="s">
        <v>71</v>
      </c>
      <c r="B41" s="27" t="n">
        <v>12093</v>
      </c>
      <c r="C41" s="28" t="n">
        <v>2024</v>
      </c>
      <c r="D41" s="28" t="n">
        <v>4486.3</v>
      </c>
      <c r="E41" s="28" t="n">
        <v>8463</v>
      </c>
      <c r="F41" s="28" t="n">
        <v>11000</v>
      </c>
      <c r="G41" s="28" t="n">
        <v>7800</v>
      </c>
      <c r="H41" s="29"/>
      <c r="I41" s="30" t="n">
        <v>2024</v>
      </c>
      <c r="J41" s="18" t="s">
        <v>24</v>
      </c>
      <c r="K41" s="19"/>
      <c r="L41" s="20" t="n">
        <v>-0.832630447366245</v>
      </c>
      <c r="M41" s="20" t="n">
        <v>-0.629016786570743</v>
      </c>
      <c r="N41" s="20" t="n">
        <v>-0.300173654180104</v>
      </c>
      <c r="O41" s="20" t="n">
        <v>-0.0903828661208964</v>
      </c>
      <c r="P41" s="20" t="n">
        <v>-0.354998759612999</v>
      </c>
      <c r="Q41" s="31" t="n">
        <f aca="false">R41+S41</f>
        <v>4</v>
      </c>
      <c r="R41" s="31" t="n">
        <v>4</v>
      </c>
      <c r="S41" s="31" t="n">
        <v>0</v>
      </c>
    </row>
    <row r="42" customFormat="false" ht="15" hidden="false" customHeight="false" outlineLevel="0" collapsed="false">
      <c r="A42" s="14" t="s">
        <v>72</v>
      </c>
      <c r="B42" s="27" t="n">
        <v>5678</v>
      </c>
      <c r="C42" s="28" t="n">
        <v>1288</v>
      </c>
      <c r="D42" s="28" t="n">
        <v>2106.3</v>
      </c>
      <c r="E42" s="28" t="n">
        <v>3691</v>
      </c>
      <c r="F42" s="28" t="n">
        <v>4500</v>
      </c>
      <c r="G42" s="28" t="n">
        <v>4860</v>
      </c>
      <c r="H42" s="29"/>
      <c r="I42" s="30" t="n">
        <v>1288</v>
      </c>
      <c r="J42" s="18" t="s">
        <v>24</v>
      </c>
      <c r="K42" s="19"/>
      <c r="L42" s="20" t="n">
        <v>-0.773159563226488</v>
      </c>
      <c r="M42" s="20" t="n">
        <v>-0.629041916167665</v>
      </c>
      <c r="N42" s="20" t="n">
        <v>-0.34994716449454</v>
      </c>
      <c r="O42" s="20" t="n">
        <v>-0.207467418104967</v>
      </c>
      <c r="P42" s="20" t="n">
        <v>-0.144064811553364</v>
      </c>
      <c r="Q42" s="31" t="n">
        <f aca="false">R42+S42</f>
        <v>40</v>
      </c>
      <c r="R42" s="31" t="n">
        <v>2</v>
      </c>
      <c r="S42" s="31" t="n">
        <v>38</v>
      </c>
    </row>
    <row r="43" customFormat="false" ht="15" hidden="false" customHeight="false" outlineLevel="0" collapsed="false">
      <c r="A43" s="14" t="s">
        <v>73</v>
      </c>
      <c r="B43" s="27" t="n">
        <v>13020</v>
      </c>
      <c r="C43" s="28" t="n">
        <v>2208</v>
      </c>
      <c r="D43" s="28" t="n">
        <v>4830.7</v>
      </c>
      <c r="E43" s="28" t="n">
        <v>8463</v>
      </c>
      <c r="F43" s="28" t="n">
        <v>1000</v>
      </c>
      <c r="G43" s="28" t="n">
        <v>5400</v>
      </c>
      <c r="H43" s="29"/>
      <c r="I43" s="30" t="n">
        <v>1000</v>
      </c>
      <c r="J43" s="18" t="s">
        <v>27</v>
      </c>
      <c r="K43" s="19"/>
      <c r="L43" s="20" t="n">
        <v>-0.830414746543779</v>
      </c>
      <c r="M43" s="20" t="n">
        <v>-0.628978494623656</v>
      </c>
      <c r="N43" s="20" t="n">
        <v>-0.35</v>
      </c>
      <c r="O43" s="20" t="n">
        <v>-0.923195084485407</v>
      </c>
      <c r="P43" s="20" t="n">
        <v>-0.585253456221198</v>
      </c>
      <c r="Q43" s="31" t="n">
        <f aca="false">R43+S43</f>
        <v>0</v>
      </c>
      <c r="R43" s="31" t="n">
        <v>0</v>
      </c>
      <c r="S43" s="31" t="n">
        <v>0</v>
      </c>
    </row>
    <row r="44" customFormat="false" ht="15" hidden="false" customHeight="false" outlineLevel="0" collapsed="false">
      <c r="A44" s="14" t="s">
        <v>74</v>
      </c>
      <c r="B44" s="27" t="n">
        <v>117535</v>
      </c>
      <c r="C44" s="28" t="n">
        <v>18000</v>
      </c>
      <c r="D44" s="28" t="n">
        <v>43605.45</v>
      </c>
      <c r="E44" s="28" t="n">
        <v>76398</v>
      </c>
      <c r="F44" s="28" t="n">
        <v>85000</v>
      </c>
      <c r="G44" s="28" t="n">
        <v>65000</v>
      </c>
      <c r="H44" s="29"/>
      <c r="I44" s="30" t="n">
        <v>18000</v>
      </c>
      <c r="J44" s="18" t="s">
        <v>24</v>
      </c>
      <c r="K44" s="19"/>
      <c r="L44" s="20" t="n">
        <v>-0.846854128557451</v>
      </c>
      <c r="M44" s="20" t="n">
        <v>-0.629000297783639</v>
      </c>
      <c r="N44" s="20" t="n">
        <v>-0.349997872974008</v>
      </c>
      <c r="O44" s="20" t="n">
        <v>-0.276811162632407</v>
      </c>
      <c r="P44" s="20" t="n">
        <v>-0.446973242013017</v>
      </c>
      <c r="Q44" s="31" t="n">
        <f aca="false">R44+S44</f>
        <v>1</v>
      </c>
      <c r="R44" s="31" t="n">
        <v>1</v>
      </c>
      <c r="S44" s="31" t="n">
        <v>0</v>
      </c>
    </row>
    <row r="45" customFormat="false" ht="15" hidden="false" customHeight="false" outlineLevel="0" collapsed="false">
      <c r="A45" s="14" t="s">
        <v>75</v>
      </c>
      <c r="B45" s="27" t="n">
        <v>22729</v>
      </c>
      <c r="C45" s="28" t="n">
        <v>3864</v>
      </c>
      <c r="D45" s="28" t="n">
        <v>8432.55</v>
      </c>
      <c r="E45" s="28" t="n">
        <v>14774</v>
      </c>
      <c r="F45" s="28" t="n">
        <v>15000</v>
      </c>
      <c r="G45" s="28" t="n">
        <v>18000</v>
      </c>
      <c r="H45" s="29"/>
      <c r="I45" s="30" t="n">
        <v>3864</v>
      </c>
      <c r="J45" s="18" t="s">
        <v>24</v>
      </c>
      <c r="K45" s="19"/>
      <c r="L45" s="20" t="n">
        <v>-0.829996920234062</v>
      </c>
      <c r="M45" s="20" t="n">
        <v>-0.628995996304281</v>
      </c>
      <c r="N45" s="20" t="n">
        <v>-0.349993400501562</v>
      </c>
      <c r="O45" s="20" t="n">
        <v>-0.34005015618813</v>
      </c>
      <c r="P45" s="20" t="n">
        <v>-0.208060187425756</v>
      </c>
      <c r="Q45" s="31" t="n">
        <f aca="false">R45+S45</f>
        <v>5</v>
      </c>
      <c r="R45" s="31" t="n">
        <v>5</v>
      </c>
      <c r="S45" s="31" t="n">
        <v>0</v>
      </c>
    </row>
    <row r="46" customFormat="false" ht="15" hidden="false" customHeight="false" outlineLevel="0" collapsed="false">
      <c r="A46" s="14" t="s">
        <v>76</v>
      </c>
      <c r="B46" s="27" t="n">
        <v>27699</v>
      </c>
      <c r="C46" s="28" t="n">
        <v>1014</v>
      </c>
      <c r="D46" s="28" t="n">
        <v>10276.35</v>
      </c>
      <c r="E46" s="28" t="n">
        <v>18004</v>
      </c>
      <c r="F46" s="28" t="n">
        <v>20000</v>
      </c>
      <c r="G46" s="28" t="n">
        <v>22000</v>
      </c>
      <c r="H46" s="29"/>
      <c r="I46" s="30" t="n">
        <v>1014</v>
      </c>
      <c r="J46" s="18" t="s">
        <v>24</v>
      </c>
      <c r="K46" s="19"/>
      <c r="L46" s="20" t="n">
        <v>-0.963392180223113</v>
      </c>
      <c r="M46" s="20" t="n">
        <v>-0.628999241849886</v>
      </c>
      <c r="N46" s="20" t="n">
        <v>-0.350012635835229</v>
      </c>
      <c r="O46" s="20" t="n">
        <v>-0.277952272645222</v>
      </c>
      <c r="P46" s="20" t="n">
        <v>-0.205747499909744</v>
      </c>
      <c r="Q46" s="31" t="n">
        <f aca="false">R46+S46</f>
        <v>0</v>
      </c>
      <c r="R46" s="31" t="n">
        <v>0</v>
      </c>
      <c r="S46" s="31" t="n">
        <v>0</v>
      </c>
    </row>
    <row r="47" customFormat="false" ht="15" hidden="false" customHeight="false" outlineLevel="0" collapsed="false">
      <c r="A47" s="14" t="s">
        <v>77</v>
      </c>
      <c r="B47" s="27" t="n">
        <v>2598</v>
      </c>
      <c r="C47" s="28" t="n">
        <v>1067.2</v>
      </c>
      <c r="D47" s="28" t="n">
        <v>963.9</v>
      </c>
      <c r="E47" s="28" t="n">
        <v>1689</v>
      </c>
      <c r="F47" s="28" t="n">
        <v>2000</v>
      </c>
      <c r="G47" s="28" t="n">
        <v>1800</v>
      </c>
      <c r="H47" s="29"/>
      <c r="I47" s="30" t="n">
        <v>963.9</v>
      </c>
      <c r="J47" s="18" t="s">
        <v>25</v>
      </c>
      <c r="K47" s="19"/>
      <c r="L47" s="20" t="n">
        <v>-0.589222478829869</v>
      </c>
      <c r="M47" s="20" t="n">
        <v>-0.628983833718245</v>
      </c>
      <c r="N47" s="20" t="n">
        <v>-0.349884526558892</v>
      </c>
      <c r="O47" s="20" t="n">
        <v>-0.230177059276366</v>
      </c>
      <c r="P47" s="20" t="n">
        <v>-0.30715935334873</v>
      </c>
      <c r="Q47" s="31" t="n">
        <f aca="false">R47+S47</f>
        <v>0</v>
      </c>
      <c r="R47" s="31" t="n">
        <v>0</v>
      </c>
      <c r="S47" s="31" t="n">
        <v>0</v>
      </c>
    </row>
    <row r="48" customFormat="false" ht="15" hidden="false" customHeight="false" outlineLevel="0" collapsed="false">
      <c r="A48" s="14" t="s">
        <v>78</v>
      </c>
      <c r="B48" s="27" t="n">
        <v>18296</v>
      </c>
      <c r="C48" s="28" t="n">
        <v>8500</v>
      </c>
      <c r="D48" s="28" t="n">
        <v>6787.9</v>
      </c>
      <c r="E48" s="28" t="n">
        <v>11892</v>
      </c>
      <c r="F48" s="28" t="n">
        <v>15000</v>
      </c>
      <c r="G48" s="28" t="n">
        <v>14700</v>
      </c>
      <c r="H48" s="29"/>
      <c r="I48" s="30" t="n">
        <v>6787.9</v>
      </c>
      <c r="J48" s="18" t="s">
        <v>25</v>
      </c>
      <c r="K48" s="19"/>
      <c r="L48" s="20" t="n">
        <v>-0.535417577612593</v>
      </c>
      <c r="M48" s="20" t="n">
        <v>-0.628995408832532</v>
      </c>
      <c r="N48" s="20" t="n">
        <v>-0.35002186270223</v>
      </c>
      <c r="O48" s="20" t="n">
        <v>-0.180148666375164</v>
      </c>
      <c r="P48" s="20" t="n">
        <v>-0.196545693047661</v>
      </c>
      <c r="Q48" s="31" t="n">
        <f aca="false">R48+S48</f>
        <v>0</v>
      </c>
      <c r="R48" s="31" t="n">
        <v>0</v>
      </c>
      <c r="S48" s="31" t="n">
        <v>0</v>
      </c>
    </row>
    <row r="49" customFormat="false" ht="15" hidden="false" customHeight="false" outlineLevel="0" collapsed="false">
      <c r="A49" s="14" t="s">
        <v>79</v>
      </c>
      <c r="B49" s="27" t="n">
        <v>7858</v>
      </c>
      <c r="C49" s="28" t="n">
        <v>7500</v>
      </c>
      <c r="D49" s="28" t="n">
        <v>4239.2</v>
      </c>
      <c r="E49" s="28" t="n">
        <v>6035</v>
      </c>
      <c r="F49" s="28" t="n">
        <v>7000</v>
      </c>
      <c r="G49" s="28" t="n">
        <v>8800</v>
      </c>
      <c r="H49" s="29"/>
      <c r="I49" s="30" t="n">
        <v>4239.2</v>
      </c>
      <c r="J49" s="18" t="s">
        <v>25</v>
      </c>
      <c r="K49" s="19"/>
      <c r="L49" s="20" t="n">
        <v>-0.0455586663273098</v>
      </c>
      <c r="M49" s="20" t="n">
        <v>-0.460524306439298</v>
      </c>
      <c r="N49" s="20" t="n">
        <v>-0.231992873504709</v>
      </c>
      <c r="O49" s="20" t="n">
        <v>-0.109188088572156</v>
      </c>
      <c r="P49" s="20" t="n">
        <v>0.11987783150929</v>
      </c>
      <c r="Q49" s="31" t="n">
        <f aca="false">R49+S49</f>
        <v>6</v>
      </c>
      <c r="R49" s="31" t="n">
        <v>6</v>
      </c>
      <c r="S49" s="31" t="n">
        <v>0</v>
      </c>
    </row>
    <row r="50" customFormat="false" ht="15" hidden="false" customHeight="false" outlineLevel="0" collapsed="false">
      <c r="A50" s="14" t="s">
        <v>80</v>
      </c>
      <c r="B50" s="27" t="n">
        <v>7030</v>
      </c>
      <c r="C50" s="28" t="n">
        <v>2208</v>
      </c>
      <c r="D50" s="28" t="n">
        <v>2608.2</v>
      </c>
      <c r="E50" s="28" t="n">
        <v>4570</v>
      </c>
      <c r="F50" s="28" t="n">
        <v>5500</v>
      </c>
      <c r="G50" s="28" t="n">
        <v>3400</v>
      </c>
      <c r="H50" s="29"/>
      <c r="I50" s="30" t="n">
        <v>2208</v>
      </c>
      <c r="J50" s="18" t="s">
        <v>24</v>
      </c>
      <c r="K50" s="19"/>
      <c r="L50" s="20" t="n">
        <v>-0.685917496443812</v>
      </c>
      <c r="M50" s="20" t="n">
        <v>-0.628990042674253</v>
      </c>
      <c r="N50" s="20" t="n">
        <v>-0.349928876244666</v>
      </c>
      <c r="O50" s="20" t="n">
        <v>-0.217638691322902</v>
      </c>
      <c r="P50" s="20" t="n">
        <v>-0.516358463726885</v>
      </c>
      <c r="Q50" s="31" t="n">
        <f aca="false">R50+S50</f>
        <v>3</v>
      </c>
      <c r="R50" s="31" t="n">
        <v>3</v>
      </c>
      <c r="S50" s="31" t="n">
        <v>0</v>
      </c>
    </row>
    <row r="51" customFormat="false" ht="15" hidden="false" customHeight="false" outlineLevel="0" collapsed="false">
      <c r="A51" s="14" t="s">
        <v>81</v>
      </c>
      <c r="B51" s="27" t="n">
        <v>1556</v>
      </c>
      <c r="C51" s="28" t="n">
        <v>367</v>
      </c>
      <c r="D51" s="28" t="n">
        <v>577.15</v>
      </c>
      <c r="E51" s="28" t="n">
        <v>1011</v>
      </c>
      <c r="F51" s="28" t="n">
        <v>1000</v>
      </c>
      <c r="G51" s="28" t="n">
        <v>523.26</v>
      </c>
      <c r="H51" s="29"/>
      <c r="I51" s="30" t="n">
        <v>367</v>
      </c>
      <c r="J51" s="18" t="s">
        <v>24</v>
      </c>
      <c r="K51" s="19"/>
      <c r="L51" s="20" t="n">
        <v>-0.76413881748072</v>
      </c>
      <c r="M51" s="20" t="n">
        <v>-0.629080976863753</v>
      </c>
      <c r="N51" s="20" t="n">
        <v>-0.35025706940874</v>
      </c>
      <c r="O51" s="20" t="n">
        <v>-0.3573264781491</v>
      </c>
      <c r="P51" s="20" t="n">
        <v>-0.663714652956298</v>
      </c>
      <c r="Q51" s="31" t="n">
        <f aca="false">R51+S51</f>
        <v>0</v>
      </c>
      <c r="R51" s="31" t="n">
        <v>0</v>
      </c>
      <c r="S51" s="31" t="n">
        <v>0</v>
      </c>
    </row>
    <row r="52" customFormat="false" ht="15" hidden="false" customHeight="false" outlineLevel="0" collapsed="false">
      <c r="A52" s="14" t="s">
        <v>82</v>
      </c>
      <c r="B52" s="27" t="n">
        <v>1040</v>
      </c>
      <c r="C52" s="28" t="n">
        <v>263</v>
      </c>
      <c r="D52" s="28" t="n">
        <v>385.7</v>
      </c>
      <c r="E52" s="28" t="n">
        <v>676</v>
      </c>
      <c r="F52" s="28" t="n">
        <v>600</v>
      </c>
      <c r="G52" s="28" t="n">
        <v>361.25</v>
      </c>
      <c r="H52" s="29"/>
      <c r="I52" s="30" t="n">
        <v>263</v>
      </c>
      <c r="J52" s="18" t="s">
        <v>24</v>
      </c>
      <c r="K52" s="19"/>
      <c r="L52" s="20" t="n">
        <v>-0.747115384615385</v>
      </c>
      <c r="M52" s="20" t="n">
        <v>-0.629134615384615</v>
      </c>
      <c r="N52" s="20" t="n">
        <v>-0.35</v>
      </c>
      <c r="O52" s="20" t="n">
        <v>-0.423076923076923</v>
      </c>
      <c r="P52" s="20" t="n">
        <v>-0.652644230769231</v>
      </c>
      <c r="Q52" s="31" t="n">
        <f aca="false">R52+S52</f>
        <v>0</v>
      </c>
      <c r="R52" s="31" t="n">
        <v>0</v>
      </c>
      <c r="S52" s="31" t="n">
        <v>0</v>
      </c>
    </row>
    <row r="53" customFormat="false" ht="15" hidden="false" customHeight="false" outlineLevel="0" collapsed="false">
      <c r="A53" s="14" t="s">
        <v>83</v>
      </c>
      <c r="B53" s="27" t="n">
        <v>727</v>
      </c>
      <c r="C53" s="28" t="n">
        <v>127</v>
      </c>
      <c r="D53" s="28" t="n">
        <v>269.5</v>
      </c>
      <c r="E53" s="28" t="n">
        <v>473</v>
      </c>
      <c r="F53" s="28" t="n">
        <v>300</v>
      </c>
      <c r="G53" s="28" t="n">
        <v>201.42</v>
      </c>
      <c r="H53" s="29"/>
      <c r="I53" s="30" t="n">
        <v>127</v>
      </c>
      <c r="J53" s="18" t="s">
        <v>24</v>
      </c>
      <c r="K53" s="19"/>
      <c r="L53" s="20" t="n">
        <v>-0.825309491059147</v>
      </c>
      <c r="M53" s="20" t="n">
        <v>-0.6292984869326</v>
      </c>
      <c r="N53" s="20" t="n">
        <v>-0.349381017881706</v>
      </c>
      <c r="O53" s="20" t="n">
        <v>-0.587345254470426</v>
      </c>
      <c r="P53" s="20" t="n">
        <v>-0.722943603851444</v>
      </c>
      <c r="Q53" s="31" t="n">
        <f aca="false">R53+S53</f>
        <v>0</v>
      </c>
      <c r="R53" s="31" t="n">
        <v>0</v>
      </c>
      <c r="S53" s="31" t="n">
        <v>0</v>
      </c>
    </row>
    <row r="54" customFormat="false" ht="15" hidden="false" customHeight="false" outlineLevel="0" collapsed="false">
      <c r="A54" s="14" t="s">
        <v>84</v>
      </c>
      <c r="B54" s="27" t="n">
        <v>779</v>
      </c>
      <c r="C54" s="28" t="n">
        <v>460</v>
      </c>
      <c r="D54" s="28" t="n">
        <v>288.75</v>
      </c>
      <c r="E54" s="28" t="n">
        <v>506</v>
      </c>
      <c r="F54" s="28" t="n">
        <v>600</v>
      </c>
      <c r="G54" s="28" t="n">
        <v>650</v>
      </c>
      <c r="H54" s="29"/>
      <c r="I54" s="30" t="n">
        <v>288.75</v>
      </c>
      <c r="J54" s="18" t="s">
        <v>25</v>
      </c>
      <c r="K54" s="19"/>
      <c r="L54" s="20" t="n">
        <v>-0.409499358151476</v>
      </c>
      <c r="M54" s="20" t="n">
        <v>-0.629332477535302</v>
      </c>
      <c r="N54" s="20" t="n">
        <v>-0.350449293966624</v>
      </c>
      <c r="O54" s="20" t="n">
        <v>-0.229781771501926</v>
      </c>
      <c r="P54" s="20" t="n">
        <v>-0.165596919127086</v>
      </c>
      <c r="Q54" s="31" t="n">
        <f aca="false">R54+S54</f>
        <v>0</v>
      </c>
      <c r="R54" s="31" t="n">
        <v>0</v>
      </c>
      <c r="S54" s="31" t="n">
        <v>0</v>
      </c>
    </row>
    <row r="55" customFormat="false" ht="15" hidden="false" customHeight="false" outlineLevel="0" collapsed="false">
      <c r="A55" s="14" t="s">
        <v>85</v>
      </c>
      <c r="B55" s="27" t="n">
        <v>29000</v>
      </c>
      <c r="C55" s="28" t="n">
        <v>95420</v>
      </c>
      <c r="D55" s="28" t="n">
        <v>75600</v>
      </c>
      <c r="E55" s="28" t="n">
        <v>76200</v>
      </c>
      <c r="F55" s="28" t="n">
        <v>55500</v>
      </c>
      <c r="G55" s="28" t="n">
        <v>99837</v>
      </c>
      <c r="H55" s="29"/>
      <c r="I55" s="30" t="n">
        <v>55500</v>
      </c>
      <c r="J55" s="18" t="s">
        <v>27</v>
      </c>
      <c r="K55" s="19"/>
      <c r="L55" s="15" t="n">
        <v>95420</v>
      </c>
      <c r="M55" s="15" t="n">
        <v>75600</v>
      </c>
      <c r="N55" s="15" t="n">
        <v>76200</v>
      </c>
      <c r="O55" s="15" t="n">
        <v>55500</v>
      </c>
      <c r="P55" s="15" t="n">
        <v>99837</v>
      </c>
      <c r="Q55" s="31" t="n">
        <f aca="false">R55+S55</f>
        <v>12</v>
      </c>
      <c r="R55" s="31" t="n">
        <v>12</v>
      </c>
      <c r="S55" s="31" t="n">
        <v>0</v>
      </c>
    </row>
    <row r="56" customFormat="false" ht="15" hidden="false" customHeight="false" outlineLevel="0" collapsed="false">
      <c r="A56" s="23" t="s">
        <v>86</v>
      </c>
      <c r="B56" s="33" t="n">
        <v>1086326</v>
      </c>
      <c r="C56" s="33" t="n">
        <v>316697.2</v>
      </c>
      <c r="D56" s="33" t="n">
        <v>402454.15</v>
      </c>
      <c r="E56" s="33" t="n">
        <v>657081</v>
      </c>
      <c r="F56" s="33" t="n">
        <v>673500</v>
      </c>
      <c r="G56" s="33" t="n">
        <v>733394.6</v>
      </c>
      <c r="H56" s="33"/>
      <c r="I56" s="34" t="n">
        <v>221858.15</v>
      </c>
      <c r="J56" s="26"/>
      <c r="K56" s="26"/>
      <c r="L56" s="24" t="n">
        <v>95381.379518299</v>
      </c>
      <c r="M56" s="24" t="n">
        <v>75568.741533398</v>
      </c>
      <c r="N56" s="24" t="n">
        <v>76179.788526735</v>
      </c>
      <c r="O56" s="24" t="n">
        <v>55486.4375200017</v>
      </c>
      <c r="P56" s="24" t="n">
        <v>99816.5450281177</v>
      </c>
    </row>
  </sheetData>
  <conditionalFormatting sqref="L2:P5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42.1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3.28"/>
    <col collapsed="false" customWidth="true" hidden="false" outlineLevel="0" max="9" min="9" style="0" width="11"/>
    <col collapsed="false" customWidth="true" hidden="false" outlineLevel="0" max="10" min="10" style="0" width="12.14"/>
    <col collapsed="false" customWidth="true" hidden="false" outlineLevel="0" max="11" min="11" style="0" width="3.85"/>
    <col collapsed="false" customWidth="true" hidden="false" outlineLevel="0" max="16" min="12" style="0" width="10.42"/>
    <col collapsed="false" customWidth="true" hidden="false" outlineLevel="0" max="17" min="17" style="0" width="16"/>
  </cols>
  <sheetData>
    <row r="1" customFormat="false" ht="51" hidden="false" customHeight="tru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1"/>
      <c r="I1" s="12" t="s">
        <v>29</v>
      </c>
      <c r="J1" s="13" t="s">
        <v>30</v>
      </c>
      <c r="K1" s="11"/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31</v>
      </c>
    </row>
    <row r="2" customFormat="false" ht="15" hidden="false" customHeight="false" outlineLevel="0" collapsed="false">
      <c r="A2" s="35" t="s">
        <v>32</v>
      </c>
      <c r="B2" s="36" t="n">
        <v>4364</v>
      </c>
      <c r="C2" s="36" t="n">
        <v>1288</v>
      </c>
      <c r="D2" s="36" t="n">
        <v>1619.1</v>
      </c>
      <c r="E2" s="36" t="n">
        <v>2837</v>
      </c>
      <c r="F2" s="36" t="n">
        <v>3500</v>
      </c>
      <c r="G2" s="36" t="n">
        <v>2462</v>
      </c>
      <c r="H2" s="37"/>
      <c r="I2" s="38" t="n">
        <f aca="false">MIN(E2:G2)</f>
        <v>2462</v>
      </c>
      <c r="J2" s="18" t="n">
        <f aca="false">INDEX($C$2:$G$2,MATCH(I2,C2:G2,0))</f>
        <v>2462</v>
      </c>
      <c r="K2" s="19"/>
      <c r="L2" s="20" t="n">
        <f aca="false">C2/$B2-1</f>
        <v>-0.704857928505958</v>
      </c>
      <c r="M2" s="20" t="n">
        <f aca="false">D2/$B2-1</f>
        <v>-0.628987167736022</v>
      </c>
      <c r="N2" s="20" t="n">
        <f aca="false">E2/$B2-1</f>
        <v>-0.349908340971586</v>
      </c>
      <c r="O2" s="20" t="n">
        <f aca="false">F2/$B2-1</f>
        <v>-0.197983501374885</v>
      </c>
      <c r="P2" s="20" t="n">
        <f aca="false">G2/$B2-1</f>
        <v>-0.435838680109991</v>
      </c>
      <c r="Q2" s="39" t="n">
        <v>120</v>
      </c>
    </row>
    <row r="3" customFormat="false" ht="15" hidden="false" customHeight="false" outlineLevel="0" collapsed="false">
      <c r="A3" s="35" t="s">
        <v>33</v>
      </c>
      <c r="B3" s="36" t="n">
        <v>5866</v>
      </c>
      <c r="C3" s="36" t="n">
        <v>3312</v>
      </c>
      <c r="D3" s="36" t="n">
        <v>2176.3</v>
      </c>
      <c r="E3" s="36" t="n">
        <v>3813</v>
      </c>
      <c r="F3" s="36" t="n">
        <v>4500</v>
      </c>
      <c r="G3" s="36" t="n">
        <v>3162</v>
      </c>
      <c r="H3" s="37"/>
      <c r="I3" s="38" t="n">
        <f aca="false">MIN(E3:G3)</f>
        <v>3162</v>
      </c>
      <c r="J3" s="18" t="n">
        <f aca="false">INDEX($C$2:$G$2,MATCH(I3,C3:G3,0))</f>
        <v>2462</v>
      </c>
      <c r="K3" s="19"/>
      <c r="L3" s="20" t="n">
        <f aca="false">C3/$B3-1</f>
        <v>-0.435390385271054</v>
      </c>
      <c r="M3" s="20" t="n">
        <f aca="false">D3/$B3-1</f>
        <v>-0.628997613365155</v>
      </c>
      <c r="N3" s="20" t="n">
        <f aca="false">E3/$B3-1</f>
        <v>-0.349982952608251</v>
      </c>
      <c r="O3" s="20" t="n">
        <f aca="false">F3/$B3-1</f>
        <v>-0.232867371292192</v>
      </c>
      <c r="P3" s="20" t="n">
        <f aca="false">G3/$B3-1</f>
        <v>-0.460961472894647</v>
      </c>
      <c r="Q3" s="39" t="n">
        <v>56</v>
      </c>
    </row>
    <row r="4" customFormat="false" ht="15" hidden="false" customHeight="false" outlineLevel="0" collapsed="false">
      <c r="A4" s="35" t="s">
        <v>34</v>
      </c>
      <c r="B4" s="36" t="n">
        <v>8729</v>
      </c>
      <c r="C4" s="36" t="n">
        <v>4968</v>
      </c>
      <c r="D4" s="36" t="n">
        <v>2590.7</v>
      </c>
      <c r="E4" s="36" t="n">
        <v>5674</v>
      </c>
      <c r="F4" s="36" t="n">
        <v>5500</v>
      </c>
      <c r="G4" s="36" t="n">
        <v>5400</v>
      </c>
      <c r="H4" s="37"/>
      <c r="I4" s="38" t="n">
        <f aca="false">MIN(E4:G4)</f>
        <v>5400</v>
      </c>
      <c r="J4" s="18" t="n">
        <f aca="false">INDEX($C$2:$G$2,MATCH(I4,C4:G4,0))</f>
        <v>2462</v>
      </c>
      <c r="K4" s="19"/>
      <c r="L4" s="20" t="n">
        <f aca="false">C4/$B4-1</f>
        <v>-0.430862641768817</v>
      </c>
      <c r="M4" s="20" t="n">
        <f aca="false">D4/$B4-1</f>
        <v>-0.703207698476343</v>
      </c>
      <c r="N4" s="20" t="n">
        <f aca="false">E4/$B4-1</f>
        <v>-0.34998281590102</v>
      </c>
      <c r="O4" s="20" t="n">
        <f aca="false">F4/$B4-1</f>
        <v>-0.369916370718295</v>
      </c>
      <c r="P4" s="20" t="n">
        <f aca="false">G4/$B4-1</f>
        <v>-0.381372436705235</v>
      </c>
      <c r="Q4" s="39" t="n">
        <v>0</v>
      </c>
    </row>
    <row r="5" customFormat="false" ht="15" hidden="false" customHeight="false" outlineLevel="0" collapsed="false">
      <c r="A5" s="35" t="s">
        <v>35</v>
      </c>
      <c r="B5" s="36" t="n">
        <v>4364</v>
      </c>
      <c r="C5" s="36" t="n">
        <v>1288</v>
      </c>
      <c r="D5" s="36" t="n">
        <v>1619.1</v>
      </c>
      <c r="E5" s="36" t="n">
        <v>2837</v>
      </c>
      <c r="F5" s="36" t="n">
        <v>3500</v>
      </c>
      <c r="G5" s="36" t="n">
        <v>1900</v>
      </c>
      <c r="H5" s="37"/>
      <c r="I5" s="38" t="n">
        <f aca="false">MIN(E5:G5)</f>
        <v>1900</v>
      </c>
      <c r="J5" s="18" t="n">
        <f aca="false">INDEX($C$2:$G$2,MATCH(I5,C5:G5,0))</f>
        <v>2462</v>
      </c>
      <c r="K5" s="19"/>
      <c r="L5" s="20" t="n">
        <f aca="false">C5/$B5-1</f>
        <v>-0.704857928505958</v>
      </c>
      <c r="M5" s="20" t="n">
        <f aca="false">D5/$B5-1</f>
        <v>-0.628987167736022</v>
      </c>
      <c r="N5" s="20" t="n">
        <f aca="false">E5/$B5-1</f>
        <v>-0.349908340971586</v>
      </c>
      <c r="O5" s="20" t="n">
        <f aca="false">F5/$B5-1</f>
        <v>-0.197983501374885</v>
      </c>
      <c r="P5" s="20" t="n">
        <f aca="false">G5/$B5-1</f>
        <v>-0.564619615032081</v>
      </c>
      <c r="Q5" s="39" t="n">
        <v>0</v>
      </c>
    </row>
    <row r="6" customFormat="false" ht="15" hidden="false" customHeight="false" outlineLevel="0" collapsed="false">
      <c r="A6" s="35" t="s">
        <v>36</v>
      </c>
      <c r="B6" s="36" t="n">
        <v>6546</v>
      </c>
      <c r="C6" s="36" t="n">
        <v>2392</v>
      </c>
      <c r="D6" s="36" t="n">
        <v>2428.65</v>
      </c>
      <c r="E6" s="36" t="n">
        <v>4255</v>
      </c>
      <c r="F6" s="36" t="n">
        <v>4000</v>
      </c>
      <c r="G6" s="36" t="n">
        <v>4540</v>
      </c>
      <c r="H6" s="37"/>
      <c r="I6" s="38" t="n">
        <f aca="false">MIN(E6:G6)</f>
        <v>4000</v>
      </c>
      <c r="J6" s="18" t="n">
        <f aca="false">INDEX($C$2:$G$2,MATCH(I6,C6:G6,0))</f>
        <v>3500</v>
      </c>
      <c r="K6" s="19"/>
      <c r="L6" s="20" t="n">
        <f aca="false">C6/$B6-1</f>
        <v>-0.634586006721662</v>
      </c>
      <c r="M6" s="20" t="n">
        <f aca="false">D6/$B6-1</f>
        <v>-0.628987167736022</v>
      </c>
      <c r="N6" s="20" t="n">
        <f aca="false">E6/$B6-1</f>
        <v>-0.349984723495264</v>
      </c>
      <c r="O6" s="20" t="n">
        <f aca="false">F6/$B6-1</f>
        <v>-0.388939810571341</v>
      </c>
      <c r="P6" s="20" t="n">
        <f aca="false">G6/$B6-1</f>
        <v>-0.306446684998472</v>
      </c>
      <c r="Q6" s="39" t="n">
        <v>0</v>
      </c>
    </row>
    <row r="7" customFormat="false" ht="15" hidden="false" customHeight="false" outlineLevel="0" collapsed="false">
      <c r="A7" s="35" t="s">
        <v>37</v>
      </c>
      <c r="B7" s="36" t="n">
        <v>844</v>
      </c>
      <c r="C7" s="36" t="n">
        <v>552</v>
      </c>
      <c r="D7" s="36" t="n">
        <v>2920.05</v>
      </c>
      <c r="E7" s="36" t="n">
        <v>549</v>
      </c>
      <c r="F7" s="36" t="n">
        <v>4000</v>
      </c>
      <c r="G7" s="36" t="n">
        <v>562.67</v>
      </c>
      <c r="H7" s="37"/>
      <c r="I7" s="38" t="n">
        <f aca="false">MIN(E7:G7)</f>
        <v>549</v>
      </c>
      <c r="J7" s="18" t="n">
        <f aca="false">INDEX($C$2:$G$2,MATCH(I7,C7:G7,0))</f>
        <v>2837</v>
      </c>
      <c r="K7" s="19"/>
      <c r="L7" s="20" t="n">
        <f aca="false">C7/$B7-1</f>
        <v>-0.345971563981043</v>
      </c>
      <c r="M7" s="20" t="n">
        <f aca="false">D7/$B7-1</f>
        <v>2.45977488151659</v>
      </c>
      <c r="N7" s="20" t="n">
        <f aca="false">E7/$B7-1</f>
        <v>-0.349526066350711</v>
      </c>
      <c r="O7" s="20" t="n">
        <f aca="false">F7/$B7-1</f>
        <v>3.739336492891</v>
      </c>
      <c r="P7" s="20" t="n">
        <f aca="false">G7/$B7-1</f>
        <v>-0.333329383886256</v>
      </c>
      <c r="Q7" s="39" t="n">
        <v>3</v>
      </c>
    </row>
    <row r="8" customFormat="false" ht="15" hidden="false" customHeight="false" outlineLevel="0" collapsed="false">
      <c r="A8" s="35" t="s">
        <v>38</v>
      </c>
      <c r="B8" s="36" t="n">
        <v>7946</v>
      </c>
      <c r="C8" s="36" t="n">
        <v>2208</v>
      </c>
      <c r="D8" s="36" t="n">
        <v>2948.05</v>
      </c>
      <c r="E8" s="36" t="n">
        <v>5165</v>
      </c>
      <c r="F8" s="36" t="n">
        <v>6000</v>
      </c>
      <c r="G8" s="40"/>
      <c r="H8" s="37"/>
      <c r="I8" s="38" t="n">
        <f aca="false">MIN(E8:G8)</f>
        <v>5165</v>
      </c>
      <c r="J8" s="18" t="n">
        <f aca="false">INDEX($C$2:$G$2,MATCH(I8,C8:G8,0))</f>
        <v>2837</v>
      </c>
      <c r="K8" s="19"/>
      <c r="L8" s="20" t="n">
        <f aca="false">C8/$B8-1</f>
        <v>-0.722124339290209</v>
      </c>
      <c r="M8" s="20" t="n">
        <f aca="false">D8/$B8-1</f>
        <v>-0.628989428643343</v>
      </c>
      <c r="N8" s="20" t="n">
        <f aca="false">E8/$B8-1</f>
        <v>-0.349987415051598</v>
      </c>
      <c r="O8" s="20" t="n">
        <f aca="false">F8/$B8-1</f>
        <v>-0.244903095897307</v>
      </c>
      <c r="P8" s="20" t="n">
        <f aca="false">G8/$B8-1</f>
        <v>-1</v>
      </c>
      <c r="Q8" s="39" t="n">
        <v>0</v>
      </c>
    </row>
    <row r="9" customFormat="false" ht="15" hidden="false" customHeight="false" outlineLevel="0" collapsed="false">
      <c r="A9" s="35" t="s">
        <v>39</v>
      </c>
      <c r="B9" s="36" t="n">
        <v>13554</v>
      </c>
      <c r="C9" s="36" t="n">
        <v>4968</v>
      </c>
      <c r="D9" s="36" t="n">
        <v>5028.45</v>
      </c>
      <c r="E9" s="36" t="n">
        <v>8810</v>
      </c>
      <c r="F9" s="36" t="n">
        <v>11000</v>
      </c>
      <c r="G9" s="36" t="n">
        <v>8800</v>
      </c>
      <c r="H9" s="37"/>
      <c r="I9" s="38" t="n">
        <f aca="false">MIN(E9:G9)</f>
        <v>8800</v>
      </c>
      <c r="J9" s="18" t="n">
        <f aca="false">INDEX($C$2:$G$2,MATCH(I9,C9:G9,0))</f>
        <v>2462</v>
      </c>
      <c r="K9" s="19"/>
      <c r="L9" s="20" t="n">
        <f aca="false">C9/$B9-1</f>
        <v>-0.633466135458167</v>
      </c>
      <c r="M9" s="20" t="n">
        <f aca="false">D9/$B9-1</f>
        <v>-0.629006197432492</v>
      </c>
      <c r="N9" s="20" t="n">
        <f aca="false">E9/$B9-1</f>
        <v>-0.350007377895824</v>
      </c>
      <c r="O9" s="20" t="n">
        <f aca="false">F9/$B9-1</f>
        <v>-0.188431459347794</v>
      </c>
      <c r="P9" s="20" t="n">
        <f aca="false">G9/$B9-1</f>
        <v>-0.350745167478235</v>
      </c>
      <c r="Q9" s="39" t="n">
        <v>17</v>
      </c>
    </row>
    <row r="10" customFormat="false" ht="15" hidden="false" customHeight="false" outlineLevel="0" collapsed="false">
      <c r="A10" s="35" t="s">
        <v>40</v>
      </c>
      <c r="B10" s="36" t="n">
        <v>27108</v>
      </c>
      <c r="C10" s="36" t="n">
        <v>1840</v>
      </c>
      <c r="D10" s="36" t="n">
        <v>10056.9</v>
      </c>
      <c r="E10" s="36" t="n">
        <v>17620</v>
      </c>
      <c r="F10" s="36" t="n">
        <v>18000</v>
      </c>
      <c r="G10" s="36" t="n">
        <v>25800</v>
      </c>
      <c r="H10" s="37"/>
      <c r="I10" s="38" t="n">
        <f aca="false">MIN(E10:G10)</f>
        <v>17620</v>
      </c>
      <c r="J10" s="18" t="n">
        <f aca="false">INDEX($C$2:$G$2,MATCH(I10,C10:G10,0))</f>
        <v>2837</v>
      </c>
      <c r="K10" s="19"/>
      <c r="L10" s="20" t="n">
        <f aca="false">C10/$B10-1</f>
        <v>-0.932123358418179</v>
      </c>
      <c r="M10" s="20" t="n">
        <f aca="false">D10/$B10-1</f>
        <v>-0.629006197432492</v>
      </c>
      <c r="N10" s="20" t="n">
        <f aca="false">E10/$B10-1</f>
        <v>-0.350007377895824</v>
      </c>
      <c r="O10" s="20" t="n">
        <f aca="false">F10/$B10-1</f>
        <v>-0.335989375830013</v>
      </c>
      <c r="P10" s="20" t="n">
        <f aca="false">G10/$B10-1</f>
        <v>-0.0482514386896857</v>
      </c>
      <c r="Q10" s="39" t="n">
        <v>5</v>
      </c>
    </row>
    <row r="11" customFormat="false" ht="15" hidden="false" customHeight="false" outlineLevel="0" collapsed="false">
      <c r="A11" s="35" t="s">
        <v>41</v>
      </c>
      <c r="B11" s="36" t="n">
        <v>14545</v>
      </c>
      <c r="C11" s="36" t="n">
        <v>1104</v>
      </c>
      <c r="D11" s="36" t="n">
        <v>5396.3</v>
      </c>
      <c r="E11" s="36" t="n">
        <v>9454</v>
      </c>
      <c r="F11" s="36" t="n">
        <v>9000</v>
      </c>
      <c r="G11" s="36" t="n">
        <v>12000</v>
      </c>
      <c r="H11" s="37"/>
      <c r="I11" s="38" t="n">
        <f aca="false">MIN(E11:G11)</f>
        <v>9000</v>
      </c>
      <c r="J11" s="18" t="n">
        <f aca="false">INDEX($C$2:$G$2,MATCH(I11,C11:G11,0))</f>
        <v>3500</v>
      </c>
      <c r="K11" s="19"/>
      <c r="L11" s="20" t="n">
        <f aca="false">C11/$B11-1</f>
        <v>-0.924097628050877</v>
      </c>
      <c r="M11" s="20" t="n">
        <f aca="false">D11/$B11-1</f>
        <v>-0.628992781024407</v>
      </c>
      <c r="N11" s="20" t="n">
        <f aca="false">E11/$B11-1</f>
        <v>-0.350017188037126</v>
      </c>
      <c r="O11" s="20" t="n">
        <f aca="false">F11/$B11-1</f>
        <v>-0.381230663458233</v>
      </c>
      <c r="P11" s="20" t="n">
        <f aca="false">G11/$B11-1</f>
        <v>-0.174974217944311</v>
      </c>
      <c r="Q11" s="39" t="n">
        <v>0</v>
      </c>
    </row>
    <row r="12" customFormat="false" ht="15" hidden="false" customHeight="false" outlineLevel="0" collapsed="false">
      <c r="A12" s="35" t="s">
        <v>42</v>
      </c>
      <c r="B12" s="36" t="n">
        <v>11785</v>
      </c>
      <c r="C12" s="36" t="n">
        <v>736</v>
      </c>
      <c r="D12" s="36" t="n">
        <v>4372.2</v>
      </c>
      <c r="E12" s="36" t="n">
        <v>7660</v>
      </c>
      <c r="F12" s="36" t="n">
        <v>8000</v>
      </c>
      <c r="G12" s="36" t="n">
        <v>7890</v>
      </c>
      <c r="H12" s="37"/>
      <c r="I12" s="38" t="n">
        <f aca="false">MIN(E12:G12)</f>
        <v>7660</v>
      </c>
      <c r="J12" s="18" t="n">
        <f aca="false">INDEX($C$2:$G$2,MATCH(I12,C12:G12,0))</f>
        <v>2837</v>
      </c>
      <c r="K12" s="19"/>
      <c r="L12" s="20" t="n">
        <f aca="false">C12/$B12-1</f>
        <v>-0.937547730165465</v>
      </c>
      <c r="M12" s="20" t="n">
        <f aca="false">D12/$B12-1</f>
        <v>-0.629002969876962</v>
      </c>
      <c r="N12" s="20" t="n">
        <f aca="false">E12/$B12-1</f>
        <v>-0.350021213406873</v>
      </c>
      <c r="O12" s="20" t="n">
        <f aca="false">F12/$B12-1</f>
        <v>-0.321170980059398</v>
      </c>
      <c r="P12" s="20" t="n">
        <f aca="false">G12/$B12-1</f>
        <v>-0.330504879083581</v>
      </c>
      <c r="Q12" s="39" t="n">
        <v>0</v>
      </c>
    </row>
    <row r="13" customFormat="false" ht="15" hidden="false" customHeight="false" outlineLevel="0" collapsed="false">
      <c r="A13" s="35" t="s">
        <v>43</v>
      </c>
      <c r="B13" s="36" t="n">
        <v>117535</v>
      </c>
      <c r="C13" s="36" t="n">
        <v>35000</v>
      </c>
      <c r="D13" s="36" t="n">
        <v>10901.45</v>
      </c>
      <c r="E13" s="36" t="n">
        <v>19100</v>
      </c>
      <c r="F13" s="36" t="n">
        <v>18000</v>
      </c>
      <c r="G13" s="36" t="n">
        <v>25000</v>
      </c>
      <c r="H13" s="37"/>
      <c r="I13" s="38" t="n">
        <f aca="false">MIN(E13:G13)</f>
        <v>18000</v>
      </c>
      <c r="J13" s="18" t="n">
        <f aca="false">INDEX($C$2:$G$2,MATCH(I13,C13:G13,0))</f>
        <v>3500</v>
      </c>
      <c r="K13" s="19"/>
      <c r="L13" s="20" t="n">
        <f aca="false">C13/$B13-1</f>
        <v>-0.702216361083933</v>
      </c>
      <c r="M13" s="20" t="n">
        <f aca="false">D13/$B13-1</f>
        <v>-0.907249329986812</v>
      </c>
      <c r="N13" s="20" t="n">
        <f aca="false">E13/$B13-1</f>
        <v>-0.837495214191517</v>
      </c>
      <c r="O13" s="20" t="n">
        <f aca="false">F13/$B13-1</f>
        <v>-0.846854128557451</v>
      </c>
      <c r="P13" s="20" t="n">
        <f aca="false">G13/$B13-1</f>
        <v>-0.787297400774238</v>
      </c>
      <c r="Q13" s="39" t="n">
        <v>1</v>
      </c>
    </row>
    <row r="14" customFormat="false" ht="15" hidden="false" customHeight="false" outlineLevel="0" collapsed="false">
      <c r="A14" s="35" t="s">
        <v>44</v>
      </c>
      <c r="B14" s="36" t="n">
        <v>58768</v>
      </c>
      <c r="C14" s="36" t="n">
        <v>4416</v>
      </c>
      <c r="D14" s="36" t="n">
        <v>5450.55</v>
      </c>
      <c r="E14" s="36" t="n">
        <v>9550</v>
      </c>
      <c r="F14" s="36" t="n">
        <v>10000</v>
      </c>
      <c r="G14" s="36" t="n">
        <v>12800</v>
      </c>
      <c r="H14" s="37"/>
      <c r="I14" s="38" t="n">
        <f aca="false">MIN(E14:G14)</f>
        <v>9550</v>
      </c>
      <c r="J14" s="18" t="n">
        <f aca="false">INDEX($C$2:$G$2,MATCH(I14,C14:G14,0))</f>
        <v>2837</v>
      </c>
      <c r="K14" s="19"/>
      <c r="L14" s="20" t="n">
        <f aca="false">C14/$B14-1</f>
        <v>-0.924857065069426</v>
      </c>
      <c r="M14" s="20" t="n">
        <f aca="false">D14/$B14-1</f>
        <v>-0.907253096923496</v>
      </c>
      <c r="N14" s="20" t="n">
        <f aca="false">E14/$B14-1</f>
        <v>-0.837496596787367</v>
      </c>
      <c r="O14" s="20" t="n">
        <f aca="false">F14/$B14-1</f>
        <v>-0.829839368363735</v>
      </c>
      <c r="P14" s="20" t="n">
        <f aca="false">G14/$B14-1</f>
        <v>-0.782194391505581</v>
      </c>
      <c r="Q14" s="39" t="n">
        <v>8</v>
      </c>
    </row>
    <row r="15" customFormat="false" ht="15" hidden="false" customHeight="false" outlineLevel="0" collapsed="false">
      <c r="A15" s="35" t="s">
        <v>45</v>
      </c>
      <c r="B15" s="36" t="n">
        <v>41136</v>
      </c>
      <c r="C15" s="36" t="n">
        <v>15000</v>
      </c>
      <c r="D15" s="36" t="n">
        <v>3816.05</v>
      </c>
      <c r="E15" s="36" t="n">
        <v>6686</v>
      </c>
      <c r="F15" s="36" t="n">
        <v>8000</v>
      </c>
      <c r="G15" s="36" t="n">
        <v>8760</v>
      </c>
      <c r="H15" s="37"/>
      <c r="I15" s="38" t="n">
        <f aca="false">MIN(E15:G15)</f>
        <v>6686</v>
      </c>
      <c r="J15" s="18" t="n">
        <f aca="false">INDEX($C$2:$G$2,MATCH(I15,C15:G15,0))</f>
        <v>2837</v>
      </c>
      <c r="K15" s="19"/>
      <c r="L15" s="20" t="n">
        <f aca="false">C15/$B15-1</f>
        <v>-0.635355892648775</v>
      </c>
      <c r="M15" s="20" t="n">
        <f aca="false">D15/$B15-1</f>
        <v>-0.907233323609491</v>
      </c>
      <c r="N15" s="20" t="n">
        <f aca="false">E15/$B15-1</f>
        <v>-0.837465966549981</v>
      </c>
      <c r="O15" s="20" t="n">
        <f aca="false">F15/$B15-1</f>
        <v>-0.805523142746013</v>
      </c>
      <c r="P15" s="20" t="n">
        <f aca="false">G15/$B15-1</f>
        <v>-0.787047841306884</v>
      </c>
      <c r="Q15" s="39" t="n">
        <v>17</v>
      </c>
    </row>
    <row r="16" customFormat="false" ht="15" hidden="false" customHeight="false" outlineLevel="0" collapsed="false">
      <c r="A16" s="35" t="s">
        <v>46</v>
      </c>
      <c r="B16" s="36" t="n">
        <v>41136</v>
      </c>
      <c r="C16" s="36" t="n">
        <v>5500</v>
      </c>
      <c r="D16" s="36" t="n">
        <v>15261.75</v>
      </c>
      <c r="E16" s="36" t="n">
        <v>26738</v>
      </c>
      <c r="F16" s="36" t="n">
        <v>28000</v>
      </c>
      <c r="G16" s="36" t="n">
        <v>37258</v>
      </c>
      <c r="H16" s="37"/>
      <c r="I16" s="38" t="n">
        <f aca="false">MIN(E16:G16)</f>
        <v>26738</v>
      </c>
      <c r="J16" s="18" t="n">
        <f aca="false">INDEX($C$2:$G$2,MATCH(I16,C16:G16,0))</f>
        <v>2837</v>
      </c>
      <c r="K16" s="19"/>
      <c r="L16" s="20" t="n">
        <f aca="false">C16/$B16-1</f>
        <v>-0.866297160637884</v>
      </c>
      <c r="M16" s="20" t="n">
        <f aca="false">D16/$B16-1</f>
        <v>-0.628992852975496</v>
      </c>
      <c r="N16" s="20" t="n">
        <f aca="false">E16/$B16-1</f>
        <v>-0.350009723842863</v>
      </c>
      <c r="O16" s="20" t="n">
        <f aca="false">F16/$B16-1</f>
        <v>-0.319330999611046</v>
      </c>
      <c r="P16" s="20" t="n">
        <f aca="false">G16/$B16-1</f>
        <v>-0.0942726565538701</v>
      </c>
      <c r="Q16" s="39" t="n">
        <v>0</v>
      </c>
    </row>
    <row r="17" customFormat="false" ht="15" hidden="false" customHeight="false" outlineLevel="0" collapsed="false">
      <c r="A17" s="35" t="s">
        <v>47</v>
      </c>
      <c r="B17" s="36" t="n">
        <v>58766</v>
      </c>
      <c r="C17" s="36" t="n">
        <v>6500</v>
      </c>
      <c r="D17" s="36" t="n">
        <v>21802.2</v>
      </c>
      <c r="E17" s="36" t="n">
        <v>38198</v>
      </c>
      <c r="F17" s="36" t="n">
        <v>35000</v>
      </c>
      <c r="G17" s="36" t="n">
        <v>53592</v>
      </c>
      <c r="H17" s="37"/>
      <c r="I17" s="38" t="n">
        <f aca="false">MIN(E17:G17)</f>
        <v>35000</v>
      </c>
      <c r="J17" s="18" t="n">
        <f aca="false">INDEX($C$2:$G$2,MATCH(I17,C17:G17,0))</f>
        <v>3500</v>
      </c>
      <c r="K17" s="19"/>
      <c r="L17" s="20" t="n">
        <f aca="false">C17/$B17-1</f>
        <v>-0.889391825205051</v>
      </c>
      <c r="M17" s="20" t="n">
        <f aca="false">D17/$B17-1</f>
        <v>-0.628999761767008</v>
      </c>
      <c r="N17" s="20" t="n">
        <f aca="false">E17/$B17-1</f>
        <v>-0.349998298335772</v>
      </c>
      <c r="O17" s="20" t="n">
        <f aca="false">F17/$B17-1</f>
        <v>-0.404417520334888</v>
      </c>
      <c r="P17" s="20" t="n">
        <f aca="false">G17/$B17-1</f>
        <v>-0.0880441071367798</v>
      </c>
      <c r="Q17" s="39" t="n">
        <v>1</v>
      </c>
    </row>
    <row r="18" customFormat="false" ht="15" hidden="false" customHeight="false" outlineLevel="0" collapsed="false">
      <c r="A18" s="35" t="s">
        <v>48</v>
      </c>
      <c r="B18" s="36" t="n">
        <v>29383</v>
      </c>
      <c r="C18" s="36" t="n">
        <v>2500</v>
      </c>
      <c r="D18" s="36" t="n">
        <v>10901.45</v>
      </c>
      <c r="E18" s="36" t="n">
        <v>19099</v>
      </c>
      <c r="F18" s="36" t="n">
        <v>7000</v>
      </c>
      <c r="G18" s="36" t="n">
        <v>26173</v>
      </c>
      <c r="H18" s="37"/>
      <c r="I18" s="38" t="n">
        <f aca="false">MIN(E18:G18)</f>
        <v>7000</v>
      </c>
      <c r="J18" s="18" t="n">
        <f aca="false">INDEX($C$2:$G$2,MATCH(I18,C18:G18,0))</f>
        <v>3500</v>
      </c>
      <c r="K18" s="19"/>
      <c r="L18" s="20" t="n">
        <f aca="false">C18/$B18-1</f>
        <v>-0.91491678861927</v>
      </c>
      <c r="M18" s="20" t="n">
        <f aca="false">D18/$B18-1</f>
        <v>-0.628987850117415</v>
      </c>
      <c r="N18" s="20" t="n">
        <f aca="false">E18/$B18-1</f>
        <v>-0.349998298335772</v>
      </c>
      <c r="O18" s="20" t="n">
        <f aca="false">F18/$B18-1</f>
        <v>-0.761767008133955</v>
      </c>
      <c r="P18" s="20" t="n">
        <f aca="false">G18/$B18-1</f>
        <v>-0.109246843412858</v>
      </c>
      <c r="Q18" s="39" t="n">
        <v>0</v>
      </c>
    </row>
    <row r="19" customFormat="false" ht="15" hidden="false" customHeight="false" outlineLevel="0" collapsed="false">
      <c r="A19" s="35" t="s">
        <v>49</v>
      </c>
      <c r="B19" s="36" t="n">
        <v>25754</v>
      </c>
      <c r="C19" s="36" t="n">
        <v>4416</v>
      </c>
      <c r="D19" s="36" t="n">
        <v>1359.4</v>
      </c>
      <c r="E19" s="36" t="n">
        <v>16740</v>
      </c>
      <c r="F19" s="36" t="n">
        <v>18000</v>
      </c>
      <c r="G19" s="36" t="n">
        <v>13400</v>
      </c>
      <c r="H19" s="37"/>
      <c r="I19" s="38" t="n">
        <f aca="false">MIN(E19:G19)</f>
        <v>13400</v>
      </c>
      <c r="J19" s="18" t="n">
        <f aca="false">INDEX($C$2:$G$2,MATCH(I19,C19:G19,0))</f>
        <v>2462</v>
      </c>
      <c r="K19" s="19"/>
      <c r="L19" s="20" t="n">
        <f aca="false">C19/$B19-1</f>
        <v>-0.828531490253941</v>
      </c>
      <c r="M19" s="20" t="n">
        <f aca="false">D19/$B19-1</f>
        <v>-0.947215966451813</v>
      </c>
      <c r="N19" s="20" t="n">
        <f aca="false">E19/$B19-1</f>
        <v>-0.350003882891978</v>
      </c>
      <c r="O19" s="20" t="n">
        <f aca="false">F19/$B19-1</f>
        <v>-0.301079443969869</v>
      </c>
      <c r="P19" s="20" t="n">
        <f aca="false">G19/$B19-1</f>
        <v>-0.479692474955347</v>
      </c>
      <c r="Q19" s="39" t="n">
        <v>10</v>
      </c>
    </row>
    <row r="20" customFormat="false" ht="15" hidden="false" customHeight="false" outlineLevel="0" collapsed="false">
      <c r="A20" s="35" t="s">
        <v>50</v>
      </c>
      <c r="B20" s="36" t="n">
        <v>20767</v>
      </c>
      <c r="C20" s="36" t="n">
        <v>367</v>
      </c>
      <c r="D20" s="36" t="n">
        <v>7704.55</v>
      </c>
      <c r="E20" s="36" t="n">
        <v>13499</v>
      </c>
      <c r="F20" s="36" t="n">
        <v>15000</v>
      </c>
      <c r="G20" s="36" t="n">
        <v>19500</v>
      </c>
      <c r="H20" s="37"/>
      <c r="I20" s="38" t="n">
        <f aca="false">MIN(E20:G20)</f>
        <v>13499</v>
      </c>
      <c r="J20" s="18" t="n">
        <f aca="false">INDEX($C$2:$G$2,MATCH(I20,C20:G20,0))</f>
        <v>2837</v>
      </c>
      <c r="K20" s="19"/>
      <c r="L20" s="20" t="n">
        <f aca="false">C20/$B20-1</f>
        <v>-0.982327731497087</v>
      </c>
      <c r="M20" s="20" t="n">
        <f aca="false">D20/$B20-1</f>
        <v>-0.629000337073241</v>
      </c>
      <c r="N20" s="20" t="n">
        <f aca="false">E20/$B20-1</f>
        <v>-0.349978331005923</v>
      </c>
      <c r="O20" s="20" t="n">
        <f aca="false">F20/$B20-1</f>
        <v>-0.277700197428613</v>
      </c>
      <c r="P20" s="20" t="n">
        <f aca="false">G20/$B20-1</f>
        <v>-0.0610102566571965</v>
      </c>
      <c r="Q20" s="39" t="n">
        <v>1</v>
      </c>
    </row>
    <row r="21" customFormat="false" ht="15" hidden="false" customHeight="false" outlineLevel="0" collapsed="false">
      <c r="A21" s="35" t="s">
        <v>51</v>
      </c>
      <c r="B21" s="36" t="n">
        <v>14692</v>
      </c>
      <c r="C21" s="36" t="n">
        <v>5500</v>
      </c>
      <c r="D21" s="36" t="n">
        <v>5450.55</v>
      </c>
      <c r="E21" s="36" t="n">
        <v>9550</v>
      </c>
      <c r="F21" s="36" t="n">
        <v>11000</v>
      </c>
      <c r="G21" s="36" t="n">
        <v>4200</v>
      </c>
      <c r="H21" s="37"/>
      <c r="I21" s="38" t="n">
        <f aca="false">MIN(E21:G21)</f>
        <v>4200</v>
      </c>
      <c r="J21" s="18" t="n">
        <f aca="false">INDEX($C$2:$G$2,MATCH(I21,C21:G21,0))</f>
        <v>2462</v>
      </c>
      <c r="K21" s="19"/>
      <c r="L21" s="20" t="n">
        <f aca="false">C21/$B21-1</f>
        <v>-0.625646610400218</v>
      </c>
      <c r="M21" s="20" t="n">
        <f aca="false">D21/$B21-1</f>
        <v>-0.629012387693983</v>
      </c>
      <c r="N21" s="20" t="n">
        <f aca="false">E21/$B21-1</f>
        <v>-0.349986387149469</v>
      </c>
      <c r="O21" s="20" t="n">
        <f aca="false">F21/$B21-1</f>
        <v>-0.251293220800436</v>
      </c>
      <c r="P21" s="20" t="n">
        <f aca="false">G21/$B21-1</f>
        <v>-0.714130138851076</v>
      </c>
      <c r="Q21" s="39" t="n">
        <v>4</v>
      </c>
    </row>
    <row r="22" customFormat="false" ht="15" hidden="false" customHeight="false" outlineLevel="0" collapsed="false">
      <c r="A22" s="35" t="s">
        <v>52</v>
      </c>
      <c r="B22" s="36" t="n">
        <v>11455</v>
      </c>
      <c r="C22" s="36" t="n">
        <v>4048</v>
      </c>
      <c r="D22" s="36" t="n">
        <v>4250.05</v>
      </c>
      <c r="E22" s="36" t="n">
        <v>7446</v>
      </c>
      <c r="F22" s="36" t="n">
        <v>8000</v>
      </c>
      <c r="G22" s="36" t="n">
        <v>2800</v>
      </c>
      <c r="H22" s="37"/>
      <c r="I22" s="38" t="n">
        <f aca="false">MIN(E22:G22)</f>
        <v>2800</v>
      </c>
      <c r="J22" s="18" t="n">
        <f aca="false">INDEX($C$2:$G$2,MATCH(I22,C22:G22,0))</f>
        <v>2462</v>
      </c>
      <c r="K22" s="19"/>
      <c r="L22" s="20" t="n">
        <f aca="false">C22/$B22-1</f>
        <v>-0.646617197730249</v>
      </c>
      <c r="M22" s="20" t="n">
        <f aca="false">D22/$B22-1</f>
        <v>-0.628978611959843</v>
      </c>
      <c r="N22" s="20" t="n">
        <f aca="false">E22/$B22-1</f>
        <v>-0.349978175469227</v>
      </c>
      <c r="O22" s="20" t="n">
        <f aca="false">F22/$B22-1</f>
        <v>-0.301615015277172</v>
      </c>
      <c r="P22" s="20" t="n">
        <f aca="false">G22/$B22-1</f>
        <v>-0.75556525534701</v>
      </c>
      <c r="Q22" s="39" t="n">
        <v>4</v>
      </c>
    </row>
    <row r="23" customFormat="false" ht="15" hidden="false" customHeight="false" outlineLevel="0" collapsed="false">
      <c r="A23" s="35" t="s">
        <v>53</v>
      </c>
      <c r="B23" s="36" t="n">
        <v>6615</v>
      </c>
      <c r="C23" s="36" t="n">
        <v>4500</v>
      </c>
      <c r="D23" s="36" t="n">
        <v>2454.2</v>
      </c>
      <c r="E23" s="36" t="n">
        <v>4300</v>
      </c>
      <c r="F23" s="36" t="n">
        <v>5000</v>
      </c>
      <c r="G23" s="36" t="n">
        <v>10900</v>
      </c>
      <c r="H23" s="37"/>
      <c r="I23" s="38" t="n">
        <f aca="false">MIN(E23:G23)</f>
        <v>4300</v>
      </c>
      <c r="J23" s="18" t="n">
        <f aca="false">INDEX($C$2:$G$2,MATCH(I23,C23:G23,0))</f>
        <v>2837</v>
      </c>
      <c r="K23" s="19"/>
      <c r="L23" s="20" t="n">
        <f aca="false">C23/$B23-1</f>
        <v>-0.319727891156463</v>
      </c>
      <c r="M23" s="20" t="n">
        <f aca="false">D23/$B23-1</f>
        <v>-0.628994708994709</v>
      </c>
      <c r="N23" s="20" t="n">
        <f aca="false">E23/$B23-1</f>
        <v>-0.349962207105064</v>
      </c>
      <c r="O23" s="20" t="n">
        <f aca="false">F23/$B23-1</f>
        <v>-0.244142101284958</v>
      </c>
      <c r="P23" s="20" t="n">
        <f aca="false">G23/$B23-1</f>
        <v>0.647770219198791</v>
      </c>
      <c r="Q23" s="39" t="n">
        <v>12</v>
      </c>
    </row>
    <row r="24" customFormat="false" ht="15" hidden="false" customHeight="false" outlineLevel="0" collapsed="false">
      <c r="A24" s="35" t="s">
        <v>54</v>
      </c>
      <c r="B24" s="36" t="n">
        <v>5715</v>
      </c>
      <c r="C24" s="36" t="n">
        <v>1104</v>
      </c>
      <c r="D24" s="36" t="n">
        <v>2120.3</v>
      </c>
      <c r="E24" s="36" t="n">
        <v>3715</v>
      </c>
      <c r="F24" s="36" t="n">
        <v>4000</v>
      </c>
      <c r="G24" s="36" t="n">
        <v>2187</v>
      </c>
      <c r="H24" s="37"/>
      <c r="I24" s="38" t="n">
        <f aca="false">MIN(E24:G24)</f>
        <v>2187</v>
      </c>
      <c r="J24" s="18" t="n">
        <f aca="false">INDEX($C$2:$G$2,MATCH(I24,C24:G24,0))</f>
        <v>2462</v>
      </c>
      <c r="K24" s="19"/>
      <c r="L24" s="20" t="n">
        <f aca="false">C24/$B24-1</f>
        <v>-0.806824146981627</v>
      </c>
      <c r="M24" s="20" t="n">
        <f aca="false">D24/$B24-1</f>
        <v>-0.628993875765529</v>
      </c>
      <c r="N24" s="20" t="n">
        <f aca="false">E24/$B24-1</f>
        <v>-0.349956255468067</v>
      </c>
      <c r="O24" s="20" t="n">
        <f aca="false">F24/$B24-1</f>
        <v>-0.300087489063867</v>
      </c>
      <c r="P24" s="20" t="n">
        <f aca="false">G24/$B24-1</f>
        <v>-0.617322834645669</v>
      </c>
      <c r="Q24" s="39" t="n">
        <v>35</v>
      </c>
    </row>
    <row r="25" customFormat="false" ht="15" hidden="false" customHeight="false" outlineLevel="0" collapsed="false">
      <c r="A25" s="35" t="s">
        <v>55</v>
      </c>
      <c r="B25" s="36" t="n">
        <v>4572</v>
      </c>
      <c r="C25" s="36" t="n">
        <v>1656</v>
      </c>
      <c r="D25" s="36" t="n">
        <v>1696.1</v>
      </c>
      <c r="E25" s="36" t="n">
        <v>2972</v>
      </c>
      <c r="F25" s="36" t="n">
        <v>3500</v>
      </c>
      <c r="G25" s="36" t="n">
        <v>1700</v>
      </c>
      <c r="H25" s="37"/>
      <c r="I25" s="38" t="n">
        <f aca="false">MIN(E25:G25)</f>
        <v>1700</v>
      </c>
      <c r="J25" s="18" t="n">
        <f aca="false">INDEX($C$2:$G$2,MATCH(I25,C25:G25,0))</f>
        <v>2462</v>
      </c>
      <c r="K25" s="19"/>
      <c r="L25" s="20" t="n">
        <f aca="false">C25/$B25-1</f>
        <v>-0.637795275590551</v>
      </c>
      <c r="M25" s="20" t="n">
        <f aca="false">D25/$B25-1</f>
        <v>-0.629024496937883</v>
      </c>
      <c r="N25" s="20" t="n">
        <f aca="false">E25/$B25-1</f>
        <v>-0.349956255468067</v>
      </c>
      <c r="O25" s="20" t="n">
        <f aca="false">F25/$B25-1</f>
        <v>-0.234470691163605</v>
      </c>
      <c r="P25" s="20" t="n">
        <f aca="false">G25/$B25-1</f>
        <v>-0.628171478565179</v>
      </c>
      <c r="Q25" s="39" t="n">
        <v>13</v>
      </c>
    </row>
    <row r="26" customFormat="false" ht="15" hidden="false" customHeight="false" outlineLevel="0" collapsed="false">
      <c r="A26" s="35" t="s">
        <v>56</v>
      </c>
      <c r="B26" s="36" t="n">
        <v>8868</v>
      </c>
      <c r="C26" s="36" t="n">
        <v>3496</v>
      </c>
      <c r="D26" s="36" t="n">
        <v>3290</v>
      </c>
      <c r="E26" s="36" t="n">
        <v>5764</v>
      </c>
      <c r="F26" s="36" t="n">
        <v>7000</v>
      </c>
      <c r="G26" s="36" t="n">
        <v>3645</v>
      </c>
      <c r="H26" s="37"/>
      <c r="I26" s="38" t="n">
        <f aca="false">MIN(E26:G26)</f>
        <v>3645</v>
      </c>
      <c r="J26" s="18" t="n">
        <f aca="false">INDEX($C$2:$G$2,MATCH(I26,C26:G26,0))</f>
        <v>2462</v>
      </c>
      <c r="K26" s="19"/>
      <c r="L26" s="20" t="n">
        <f aca="false">C26/$B26-1</f>
        <v>-0.605773567884529</v>
      </c>
      <c r="M26" s="20" t="n">
        <f aca="false">D26/$B26-1</f>
        <v>-0.629003157419937</v>
      </c>
      <c r="N26" s="20" t="n">
        <f aca="false">E26/$B26-1</f>
        <v>-0.350022552999549</v>
      </c>
      <c r="O26" s="20" t="n">
        <f aca="false">F26/$B26-1</f>
        <v>-0.2106450157871</v>
      </c>
      <c r="P26" s="20" t="n">
        <f aca="false">G26/$B26-1</f>
        <v>-0.588971583220568</v>
      </c>
      <c r="Q26" s="39" t="n">
        <v>15</v>
      </c>
    </row>
    <row r="27" customFormat="false" ht="15" hidden="false" customHeight="false" outlineLevel="0" collapsed="false">
      <c r="A27" s="35" t="s">
        <v>57</v>
      </c>
      <c r="B27" s="36" t="n">
        <v>7122</v>
      </c>
      <c r="C27" s="36" t="n">
        <v>1840</v>
      </c>
      <c r="D27" s="36" t="n">
        <v>2642.15</v>
      </c>
      <c r="E27" s="36" t="n">
        <v>4629</v>
      </c>
      <c r="F27" s="36" t="n">
        <v>5000</v>
      </c>
      <c r="G27" s="36" t="n">
        <v>6800</v>
      </c>
      <c r="H27" s="37"/>
      <c r="I27" s="38" t="n">
        <f aca="false">MIN(E27:G27)</f>
        <v>4629</v>
      </c>
      <c r="J27" s="18" t="n">
        <f aca="false">INDEX($C$2:$G$2,MATCH(I27,C27:G27,0))</f>
        <v>2837</v>
      </c>
      <c r="K27" s="19"/>
      <c r="L27" s="20" t="n">
        <f aca="false">C27/$B27-1</f>
        <v>-0.741645605167088</v>
      </c>
      <c r="M27" s="20" t="n">
        <f aca="false">D27/$B27-1</f>
        <v>-0.629015725919686</v>
      </c>
      <c r="N27" s="20" t="n">
        <f aca="false">E27/$B27-1</f>
        <v>-0.350042122999158</v>
      </c>
      <c r="O27" s="20" t="n">
        <f aca="false">F27/$B27-1</f>
        <v>-0.297950014041</v>
      </c>
      <c r="P27" s="20" t="n">
        <f aca="false">G27/$B27-1</f>
        <v>-0.0452120190957597</v>
      </c>
      <c r="Q27" s="39" t="n">
        <v>0</v>
      </c>
    </row>
    <row r="28" customFormat="false" ht="15" hidden="false" customHeight="false" outlineLevel="0" collapsed="false">
      <c r="A28" s="35" t="s">
        <v>58</v>
      </c>
      <c r="B28" s="36" t="n">
        <v>3824</v>
      </c>
      <c r="C28" s="36" t="n">
        <v>1104</v>
      </c>
      <c r="D28" s="36" t="n">
        <v>1418.9</v>
      </c>
      <c r="E28" s="36" t="n">
        <v>2486</v>
      </c>
      <c r="F28" s="36" t="n">
        <v>2500</v>
      </c>
      <c r="G28" s="36" t="n">
        <v>2430</v>
      </c>
      <c r="H28" s="37"/>
      <c r="I28" s="38" t="n">
        <f aca="false">MIN(E28:G28)</f>
        <v>2430</v>
      </c>
      <c r="J28" s="18" t="n">
        <f aca="false">INDEX($C$2:$G$2,MATCH(I28,C28:G28,0))</f>
        <v>2462</v>
      </c>
      <c r="K28" s="19"/>
      <c r="L28" s="20" t="n">
        <f aca="false">C28/$B28-1</f>
        <v>-0.711297071129707</v>
      </c>
      <c r="M28" s="20" t="n">
        <f aca="false">D28/$B28-1</f>
        <v>-0.628948744769875</v>
      </c>
      <c r="N28" s="20" t="n">
        <f aca="false">E28/$B28-1</f>
        <v>-0.34989539748954</v>
      </c>
      <c r="O28" s="20" t="n">
        <f aca="false">F28/$B28-1</f>
        <v>-0.346234309623431</v>
      </c>
      <c r="P28" s="20" t="n">
        <f aca="false">G28/$B28-1</f>
        <v>-0.364539748953975</v>
      </c>
      <c r="Q28" s="39" t="n">
        <v>11</v>
      </c>
    </row>
    <row r="29" customFormat="false" ht="15" hidden="false" customHeight="false" outlineLevel="0" collapsed="false">
      <c r="A29" s="35" t="s">
        <v>59</v>
      </c>
      <c r="B29" s="36" t="n">
        <v>11904</v>
      </c>
      <c r="C29" s="36" t="n">
        <v>4048</v>
      </c>
      <c r="D29" s="36" t="n">
        <v>4416.65</v>
      </c>
      <c r="E29" s="36" t="n">
        <v>7738</v>
      </c>
      <c r="F29" s="36" t="n">
        <v>8000</v>
      </c>
      <c r="G29" s="36" t="n">
        <v>6200</v>
      </c>
      <c r="H29" s="37"/>
      <c r="I29" s="38" t="n">
        <f aca="false">MIN(E29:G29)</f>
        <v>6200</v>
      </c>
      <c r="J29" s="18" t="n">
        <f aca="false">INDEX($C$2:$G$2,MATCH(I29,C29:G29,0))</f>
        <v>2462</v>
      </c>
      <c r="K29" s="19"/>
      <c r="L29" s="20" t="n">
        <f aca="false">C29/$B29-1</f>
        <v>-0.65994623655914</v>
      </c>
      <c r="M29" s="20" t="n">
        <f aca="false">D29/$B29-1</f>
        <v>-0.628977654569893</v>
      </c>
      <c r="N29" s="20" t="n">
        <f aca="false">E29/$B29-1</f>
        <v>-0.349966397849462</v>
      </c>
      <c r="O29" s="20" t="n">
        <f aca="false">F29/$B29-1</f>
        <v>-0.327956989247312</v>
      </c>
      <c r="P29" s="20" t="n">
        <f aca="false">G29/$B29-1</f>
        <v>-0.479166666666667</v>
      </c>
      <c r="Q29" s="39" t="n">
        <v>6</v>
      </c>
    </row>
    <row r="30" customFormat="false" ht="15" hidden="false" customHeight="false" outlineLevel="0" collapsed="false">
      <c r="A30" s="35" t="s">
        <v>60</v>
      </c>
      <c r="B30" s="36" t="n">
        <v>4216</v>
      </c>
      <c r="C30" s="36" t="n">
        <v>1104</v>
      </c>
      <c r="D30" s="36" t="n">
        <v>1564.15</v>
      </c>
      <c r="E30" s="36" t="n">
        <v>826</v>
      </c>
      <c r="F30" s="36" t="n">
        <v>3000</v>
      </c>
      <c r="G30" s="36" t="n">
        <v>1080</v>
      </c>
      <c r="H30" s="37"/>
      <c r="I30" s="38" t="n">
        <f aca="false">MIN(E30:G30)</f>
        <v>826</v>
      </c>
      <c r="J30" s="18" t="n">
        <f aca="false">INDEX($C$2:$G$2,MATCH(I30,C30:G30,0))</f>
        <v>2837</v>
      </c>
      <c r="K30" s="19"/>
      <c r="L30" s="20" t="n">
        <f aca="false">C30/$B30-1</f>
        <v>-0.738140417457306</v>
      </c>
      <c r="M30" s="20" t="n">
        <f aca="false">D30/$B30-1</f>
        <v>-0.628996679316888</v>
      </c>
      <c r="N30" s="20" t="n">
        <f aca="false">E30/$B30-1</f>
        <v>-0.804079696394687</v>
      </c>
      <c r="O30" s="20" t="n">
        <f aca="false">F30/$B30-1</f>
        <v>-0.28842504743833</v>
      </c>
      <c r="P30" s="20" t="n">
        <f aca="false">G30/$B30-1</f>
        <v>-0.743833017077799</v>
      </c>
      <c r="Q30" s="39" t="n">
        <v>0</v>
      </c>
    </row>
    <row r="31" customFormat="false" ht="15" hidden="false" customHeight="false" outlineLevel="0" collapsed="false">
      <c r="A31" s="35" t="s">
        <v>61</v>
      </c>
      <c r="B31" s="36" t="n">
        <v>25684</v>
      </c>
      <c r="C31" s="36" t="n">
        <v>4784</v>
      </c>
      <c r="D31" s="36" t="n">
        <v>9528.75</v>
      </c>
      <c r="E31" s="36" t="n">
        <v>16695</v>
      </c>
      <c r="F31" s="36" t="n">
        <v>18000</v>
      </c>
      <c r="G31" s="36" t="n">
        <v>18900</v>
      </c>
      <c r="H31" s="37"/>
      <c r="I31" s="38" t="n">
        <f aca="false">MIN(E31:G31)</f>
        <v>16695</v>
      </c>
      <c r="J31" s="18" t="n">
        <f aca="false">INDEX($C$2:$G$2,MATCH(I31,C31:G31,0))</f>
        <v>2837</v>
      </c>
      <c r="K31" s="19"/>
      <c r="L31" s="20" t="n">
        <f aca="false">C31/$B31-1</f>
        <v>-0.813736178165395</v>
      </c>
      <c r="M31" s="20" t="n">
        <f aca="false">D31/$B31-1</f>
        <v>-0.629000545086435</v>
      </c>
      <c r="N31" s="20" t="n">
        <f aca="false">E31/$B31-1</f>
        <v>-0.349984426101853</v>
      </c>
      <c r="O31" s="20" t="n">
        <f aca="false">F31/$B31-1</f>
        <v>-0.299174583398225</v>
      </c>
      <c r="P31" s="20" t="n">
        <f aca="false">G31/$B31-1</f>
        <v>-0.264133312568136</v>
      </c>
      <c r="Q31" s="39" t="n">
        <v>3</v>
      </c>
    </row>
    <row r="32" customFormat="false" ht="15" hidden="false" customHeight="false" outlineLevel="0" collapsed="false">
      <c r="A32" s="35" t="s">
        <v>62</v>
      </c>
      <c r="B32" s="36" t="n">
        <v>5137</v>
      </c>
      <c r="C32" s="36" t="n">
        <v>368</v>
      </c>
      <c r="D32" s="36" t="n">
        <v>1905.75</v>
      </c>
      <c r="E32" s="36" t="n">
        <v>3339</v>
      </c>
      <c r="F32" s="36" t="n">
        <v>3500</v>
      </c>
      <c r="G32" s="36" t="n">
        <v>880</v>
      </c>
      <c r="H32" s="37"/>
      <c r="I32" s="38" t="n">
        <f aca="false">MIN(E32:G32)</f>
        <v>880</v>
      </c>
      <c r="J32" s="18" t="n">
        <f aca="false">INDEX($C$2:$G$2,MATCH(I32,C32:G32,0))</f>
        <v>2462</v>
      </c>
      <c r="K32" s="19"/>
      <c r="L32" s="20" t="n">
        <f aca="false">C32/$B32-1</f>
        <v>-0.928362857699046</v>
      </c>
      <c r="M32" s="20" t="n">
        <f aca="false">D32/$B32-1</f>
        <v>-0.629014989293362</v>
      </c>
      <c r="N32" s="20" t="n">
        <f aca="false">E32/$B32-1</f>
        <v>-0.350009733307378</v>
      </c>
      <c r="O32" s="20" t="n">
        <f aca="false">F32/$B32-1</f>
        <v>-0.318668483550711</v>
      </c>
      <c r="P32" s="20" t="n">
        <f aca="false">G32/$B32-1</f>
        <v>-0.828693790149893</v>
      </c>
      <c r="Q32" s="39" t="n">
        <v>0</v>
      </c>
    </row>
    <row r="33" customFormat="false" ht="15" hidden="false" customHeight="false" outlineLevel="0" collapsed="false">
      <c r="A33" s="35" t="s">
        <v>63</v>
      </c>
      <c r="B33" s="36" t="n">
        <v>25419</v>
      </c>
      <c r="C33" s="36" t="n">
        <v>8096</v>
      </c>
      <c r="D33" s="36" t="n">
        <v>6565.3</v>
      </c>
      <c r="E33" s="36" t="n">
        <v>11502</v>
      </c>
      <c r="F33" s="36" t="n">
        <v>14000</v>
      </c>
      <c r="G33" s="36" t="n">
        <v>7290</v>
      </c>
      <c r="H33" s="37"/>
      <c r="I33" s="38" t="n">
        <f aca="false">MIN(E33:G33)</f>
        <v>7290</v>
      </c>
      <c r="J33" s="18" t="n">
        <f aca="false">INDEX($C$2:$G$2,MATCH(I33,C33:G33,0))</f>
        <v>2462</v>
      </c>
      <c r="K33" s="19"/>
      <c r="L33" s="20" t="n">
        <f aca="false">C33/$B33-1</f>
        <v>-0.681498091978441</v>
      </c>
      <c r="M33" s="20" t="n">
        <f aca="false">D33/$B33-1</f>
        <v>-0.741716825996302</v>
      </c>
      <c r="N33" s="20" t="n">
        <f aca="false">E33/$B33-1</f>
        <v>-0.547503835713443</v>
      </c>
      <c r="O33" s="20" t="n">
        <f aca="false">F33/$B33-1</f>
        <v>-0.449230890278925</v>
      </c>
      <c r="P33" s="20" t="n">
        <f aca="false">G33/$B33-1</f>
        <v>-0.713206656438097</v>
      </c>
      <c r="Q33" s="39" t="n">
        <v>3</v>
      </c>
    </row>
    <row r="34" customFormat="false" ht="15" hidden="false" customHeight="false" outlineLevel="0" collapsed="false">
      <c r="A34" s="35" t="s">
        <v>64</v>
      </c>
      <c r="B34" s="36" t="n">
        <v>17696</v>
      </c>
      <c r="C34" s="36" t="n">
        <v>3312</v>
      </c>
      <c r="D34" s="36" t="n">
        <v>9430.4</v>
      </c>
      <c r="E34" s="36" t="n">
        <v>16522</v>
      </c>
      <c r="F34" s="36" t="n">
        <v>20000</v>
      </c>
      <c r="G34" s="36" t="n">
        <v>12150</v>
      </c>
      <c r="H34" s="37"/>
      <c r="I34" s="38" t="n">
        <f aca="false">MIN(E34:G34)</f>
        <v>12150</v>
      </c>
      <c r="J34" s="18" t="n">
        <f aca="false">INDEX($C$2:$G$2,MATCH(I34,C34:G34,0))</f>
        <v>2462</v>
      </c>
      <c r="K34" s="19"/>
      <c r="L34" s="20" t="n">
        <f aca="false">C34/$B34-1</f>
        <v>-0.812839059674503</v>
      </c>
      <c r="M34" s="20" t="n">
        <f aca="false">D34/$B34-1</f>
        <v>-0.467088607594937</v>
      </c>
      <c r="N34" s="20" t="n">
        <f aca="false">E34/$B34-1</f>
        <v>-0.0663426763110308</v>
      </c>
      <c r="O34" s="20" t="n">
        <f aca="false">F34/$B34-1</f>
        <v>0.130198915009042</v>
      </c>
      <c r="P34" s="20" t="n">
        <f aca="false">G34/$B34-1</f>
        <v>-0.313404159132007</v>
      </c>
      <c r="Q34" s="39" t="n">
        <v>0</v>
      </c>
    </row>
    <row r="35" customFormat="false" ht="15" hidden="false" customHeight="false" outlineLevel="0" collapsed="false">
      <c r="A35" s="35" t="s">
        <v>65</v>
      </c>
      <c r="B35" s="36" t="n">
        <v>40957</v>
      </c>
      <c r="C35" s="36" t="n">
        <v>10672</v>
      </c>
      <c r="D35" s="36" t="n">
        <v>15195.25</v>
      </c>
      <c r="E35" s="36" t="n">
        <v>26622</v>
      </c>
      <c r="F35" s="36" t="n">
        <v>30000</v>
      </c>
      <c r="G35" s="36" t="n">
        <v>24300</v>
      </c>
      <c r="H35" s="37"/>
      <c r="I35" s="38" t="n">
        <f aca="false">MIN(E35:G35)</f>
        <v>24300</v>
      </c>
      <c r="J35" s="18" t="n">
        <f aca="false">INDEX($C$2:$G$2,MATCH(I35,C35:G35,0))</f>
        <v>2462</v>
      </c>
      <c r="K35" s="19"/>
      <c r="L35" s="20" t="n">
        <f aca="false">C35/$B35-1</f>
        <v>-0.739434040579144</v>
      </c>
      <c r="M35" s="20" t="n">
        <f aca="false">D35/$B35-1</f>
        <v>-0.628995043582294</v>
      </c>
      <c r="N35" s="20" t="n">
        <f aca="false">E35/$B35-1</f>
        <v>-0.350001220792539</v>
      </c>
      <c r="O35" s="20" t="n">
        <f aca="false">F35/$B35-1</f>
        <v>-0.267524476890397</v>
      </c>
      <c r="P35" s="20" t="n">
        <f aca="false">G35/$B35-1</f>
        <v>-0.406694826281222</v>
      </c>
      <c r="Q35" s="39" t="n">
        <v>0</v>
      </c>
    </row>
    <row r="36" customFormat="false" ht="15" hidden="false" customHeight="false" outlineLevel="0" collapsed="false">
      <c r="A36" s="35" t="s">
        <v>66</v>
      </c>
      <c r="B36" s="36" t="n">
        <v>19364</v>
      </c>
      <c r="C36" s="36" t="n">
        <v>552</v>
      </c>
      <c r="D36" s="36" t="n">
        <v>7184.1</v>
      </c>
      <c r="E36" s="36" t="n">
        <v>12587</v>
      </c>
      <c r="F36" s="36" t="n">
        <v>9000</v>
      </c>
      <c r="G36" s="36" t="n">
        <v>7800</v>
      </c>
      <c r="H36" s="37"/>
      <c r="I36" s="38" t="n">
        <f aca="false">MIN(E36:G36)</f>
        <v>7800</v>
      </c>
      <c r="J36" s="18" t="n">
        <f aca="false">INDEX($C$2:$G$2,MATCH(I36,C36:G36,0))</f>
        <v>2462</v>
      </c>
      <c r="K36" s="19"/>
      <c r="L36" s="20" t="n">
        <f aca="false">C36/$B36-1</f>
        <v>-0.971493493079942</v>
      </c>
      <c r="M36" s="20" t="n">
        <f aca="false">D36/$B36-1</f>
        <v>-0.62899710803553</v>
      </c>
      <c r="N36" s="20" t="n">
        <f aca="false">E36/$B36-1</f>
        <v>-0.349979343110928</v>
      </c>
      <c r="O36" s="20" t="n">
        <f aca="false">F36/$B36-1</f>
        <v>-0.535219995868622</v>
      </c>
      <c r="P36" s="20" t="n">
        <f aca="false">G36/$B36-1</f>
        <v>-0.597190663086139</v>
      </c>
      <c r="Q36" s="39" t="n">
        <v>1</v>
      </c>
    </row>
    <row r="37" customFormat="false" ht="15" hidden="false" customHeight="false" outlineLevel="0" collapsed="false">
      <c r="A37" s="35" t="s">
        <v>67</v>
      </c>
      <c r="B37" s="36" t="n">
        <v>29043</v>
      </c>
      <c r="C37" s="36" t="n">
        <v>1472</v>
      </c>
      <c r="D37" s="36" t="n">
        <v>10774.75</v>
      </c>
      <c r="E37" s="36" t="n">
        <v>18878</v>
      </c>
      <c r="F37" s="36" t="n">
        <v>18000</v>
      </c>
      <c r="G37" s="36" t="n">
        <v>11000</v>
      </c>
      <c r="H37" s="37"/>
      <c r="I37" s="38" t="n">
        <f aca="false">MIN(E37:G37)</f>
        <v>11000</v>
      </c>
      <c r="J37" s="18" t="n">
        <f aca="false">INDEX($C$2:$G$2,MATCH(I37,C37:G37,0))</f>
        <v>2462</v>
      </c>
      <c r="K37" s="19"/>
      <c r="L37" s="20" t="n">
        <f aca="false">C37/$B37-1</f>
        <v>-0.949316530661433</v>
      </c>
      <c r="M37" s="20" t="n">
        <f aca="false">D37/$B37-1</f>
        <v>-0.629006989636057</v>
      </c>
      <c r="N37" s="20" t="n">
        <f aca="false">E37/$B37-1</f>
        <v>-0.349998278414764</v>
      </c>
      <c r="O37" s="20" t="n">
        <f aca="false">F37/$B37-1</f>
        <v>-0.380229315153393</v>
      </c>
      <c r="P37" s="20" t="n">
        <f aca="false">G37/$B37-1</f>
        <v>-0.621251248149296</v>
      </c>
      <c r="Q37" s="39" t="n">
        <v>0</v>
      </c>
    </row>
    <row r="38" customFormat="false" ht="15" hidden="false" customHeight="false" outlineLevel="0" collapsed="false">
      <c r="A38" s="35" t="s">
        <v>68</v>
      </c>
      <c r="B38" s="36" t="n">
        <v>29102</v>
      </c>
      <c r="C38" s="36" t="n">
        <v>9568</v>
      </c>
      <c r="D38" s="36" t="n">
        <v>10796.8</v>
      </c>
      <c r="E38" s="36" t="n">
        <v>18916</v>
      </c>
      <c r="F38" s="36" t="n">
        <v>24000</v>
      </c>
      <c r="G38" s="36" t="n">
        <v>60000</v>
      </c>
      <c r="H38" s="37"/>
      <c r="I38" s="38" t="n">
        <f aca="false">MIN(E38:G38)</f>
        <v>18916</v>
      </c>
      <c r="J38" s="18" t="n">
        <f aca="false">INDEX($C$2:$G$2,MATCH(I38,C38:G38,0))</f>
        <v>2837</v>
      </c>
      <c r="K38" s="19"/>
      <c r="L38" s="20" t="n">
        <f aca="false">C38/$B38-1</f>
        <v>-0.67122534533709</v>
      </c>
      <c r="M38" s="20" t="n">
        <f aca="false">D38/$B38-1</f>
        <v>-0.62900144319978</v>
      </c>
      <c r="N38" s="20" t="n">
        <f aca="false">E38/$B38-1</f>
        <v>-0.350010308569858</v>
      </c>
      <c r="O38" s="20" t="n">
        <f aca="false">F38/$B38-1</f>
        <v>-0.175314411380661</v>
      </c>
      <c r="P38" s="20" t="n">
        <f aca="false">G38/$B38-1</f>
        <v>1.06171397154835</v>
      </c>
      <c r="Q38" s="39" t="n">
        <v>12</v>
      </c>
    </row>
    <row r="39" customFormat="false" ht="15" hidden="false" customHeight="false" outlineLevel="0" collapsed="false">
      <c r="A39" s="35" t="s">
        <v>69</v>
      </c>
      <c r="B39" s="36" t="n">
        <v>19364</v>
      </c>
      <c r="C39" s="36" t="n">
        <v>2024</v>
      </c>
      <c r="D39" s="36" t="n">
        <v>7184.1</v>
      </c>
      <c r="E39" s="36" t="n">
        <v>12587</v>
      </c>
      <c r="F39" s="36" t="n">
        <v>16000</v>
      </c>
      <c r="G39" s="36" t="n">
        <v>12800</v>
      </c>
      <c r="H39" s="37"/>
      <c r="I39" s="38" t="n">
        <f aca="false">MIN(E39:G39)</f>
        <v>12587</v>
      </c>
      <c r="J39" s="18" t="n">
        <f aca="false">INDEX($C$2:$G$2,MATCH(I39,C39:G39,0))</f>
        <v>2837</v>
      </c>
      <c r="K39" s="19"/>
      <c r="L39" s="20" t="n">
        <f aca="false">C39/$B39-1</f>
        <v>-0.895476141293121</v>
      </c>
      <c r="M39" s="20" t="n">
        <f aca="false">D39/$B39-1</f>
        <v>-0.62899710803553</v>
      </c>
      <c r="N39" s="20" t="n">
        <f aca="false">E39/$B39-1</f>
        <v>-0.349979343110928</v>
      </c>
      <c r="O39" s="20" t="n">
        <f aca="false">F39/$B39-1</f>
        <v>-0.173724437099773</v>
      </c>
      <c r="P39" s="20" t="n">
        <f aca="false">G39/$B39-1</f>
        <v>-0.338979549679818</v>
      </c>
      <c r="Q39" s="39" t="n">
        <v>0</v>
      </c>
    </row>
    <row r="40" customFormat="false" ht="15" hidden="false" customHeight="false" outlineLevel="0" collapsed="false">
      <c r="A40" s="35" t="s">
        <v>70</v>
      </c>
      <c r="B40" s="36" t="n">
        <v>29043</v>
      </c>
      <c r="C40" s="36" t="n">
        <v>4784</v>
      </c>
      <c r="D40" s="36" t="n">
        <v>10774.75</v>
      </c>
      <c r="E40" s="36" t="n">
        <v>18878</v>
      </c>
      <c r="F40" s="36" t="n">
        <v>24000</v>
      </c>
      <c r="G40" s="36" t="n">
        <v>14000</v>
      </c>
      <c r="H40" s="37"/>
      <c r="I40" s="38" t="n">
        <f aca="false">MIN(E40:G40)</f>
        <v>14000</v>
      </c>
      <c r="J40" s="18" t="n">
        <f aca="false">INDEX($C$2:$G$2,MATCH(I40,C40:G40,0))</f>
        <v>2462</v>
      </c>
      <c r="K40" s="19"/>
      <c r="L40" s="20" t="n">
        <f aca="false">C40/$B40-1</f>
        <v>-0.835278724649657</v>
      </c>
      <c r="M40" s="20" t="n">
        <f aca="false">D40/$B40-1</f>
        <v>-0.629006989636057</v>
      </c>
      <c r="N40" s="20" t="n">
        <f aca="false">E40/$B40-1</f>
        <v>-0.349998278414764</v>
      </c>
      <c r="O40" s="20" t="n">
        <f aca="false">F40/$B40-1</f>
        <v>-0.173639086871191</v>
      </c>
      <c r="P40" s="20" t="n">
        <f aca="false">G40/$B40-1</f>
        <v>-0.517956134008195</v>
      </c>
      <c r="Q40" s="39" t="n">
        <v>0</v>
      </c>
    </row>
    <row r="41" customFormat="false" ht="15" hidden="false" customHeight="false" outlineLevel="0" collapsed="false">
      <c r="A41" s="35" t="s">
        <v>71</v>
      </c>
      <c r="B41" s="36" t="n">
        <v>12093</v>
      </c>
      <c r="C41" s="36" t="n">
        <v>2024</v>
      </c>
      <c r="D41" s="36" t="n">
        <v>4486.3</v>
      </c>
      <c r="E41" s="36" t="n">
        <v>8463</v>
      </c>
      <c r="F41" s="36" t="n">
        <v>11000</v>
      </c>
      <c r="G41" s="36" t="n">
        <v>7800</v>
      </c>
      <c r="H41" s="37"/>
      <c r="I41" s="38" t="n">
        <f aca="false">MIN(E41:G41)</f>
        <v>7800</v>
      </c>
      <c r="J41" s="18" t="n">
        <f aca="false">INDEX($C$2:$G$2,MATCH(I41,C41:G41,0))</f>
        <v>2462</v>
      </c>
      <c r="K41" s="19"/>
      <c r="L41" s="20" t="n">
        <f aca="false">C41/$B41-1</f>
        <v>-0.832630447366245</v>
      </c>
      <c r="M41" s="20" t="n">
        <f aca="false">D41/$B41-1</f>
        <v>-0.629016786570743</v>
      </c>
      <c r="N41" s="20" t="n">
        <f aca="false">E41/$B41-1</f>
        <v>-0.300173654180104</v>
      </c>
      <c r="O41" s="20" t="n">
        <f aca="false">F41/$B41-1</f>
        <v>-0.0903828661208964</v>
      </c>
      <c r="P41" s="20" t="n">
        <f aca="false">G41/$B41-1</f>
        <v>-0.354998759612999</v>
      </c>
      <c r="Q41" s="39" t="n">
        <v>4</v>
      </c>
    </row>
    <row r="42" customFormat="false" ht="15" hidden="false" customHeight="false" outlineLevel="0" collapsed="false">
      <c r="A42" s="35" t="s">
        <v>72</v>
      </c>
      <c r="B42" s="36" t="n">
        <v>5678</v>
      </c>
      <c r="C42" s="36" t="n">
        <v>1288</v>
      </c>
      <c r="D42" s="36" t="n">
        <v>2106.3</v>
      </c>
      <c r="E42" s="36" t="n">
        <v>3691</v>
      </c>
      <c r="F42" s="36" t="n">
        <v>4500</v>
      </c>
      <c r="G42" s="36" t="n">
        <v>4860</v>
      </c>
      <c r="H42" s="37"/>
      <c r="I42" s="38" t="n">
        <f aca="false">MIN(E42:G42)</f>
        <v>3691</v>
      </c>
      <c r="J42" s="18" t="n">
        <f aca="false">INDEX($C$2:$G$2,MATCH(I42,C42:G42,0))</f>
        <v>2837</v>
      </c>
      <c r="K42" s="19"/>
      <c r="L42" s="20" t="n">
        <f aca="false">C42/$B42-1</f>
        <v>-0.773159563226488</v>
      </c>
      <c r="M42" s="20" t="n">
        <f aca="false">D42/$B42-1</f>
        <v>-0.629041916167665</v>
      </c>
      <c r="N42" s="20" t="n">
        <f aca="false">E42/$B42-1</f>
        <v>-0.34994716449454</v>
      </c>
      <c r="O42" s="20" t="n">
        <f aca="false">F42/$B42-1</f>
        <v>-0.207467418104967</v>
      </c>
      <c r="P42" s="20" t="n">
        <f aca="false">G42/$B42-1</f>
        <v>-0.144064811553364</v>
      </c>
      <c r="Q42" s="39" t="n">
        <v>2</v>
      </c>
    </row>
    <row r="43" customFormat="false" ht="15" hidden="false" customHeight="false" outlineLevel="0" collapsed="false">
      <c r="A43" s="35" t="s">
        <v>73</v>
      </c>
      <c r="B43" s="36" t="n">
        <v>13020</v>
      </c>
      <c r="C43" s="36" t="n">
        <v>2208</v>
      </c>
      <c r="D43" s="36" t="n">
        <v>4830.7</v>
      </c>
      <c r="E43" s="36" t="n">
        <v>8463</v>
      </c>
      <c r="F43" s="36" t="n">
        <v>1000</v>
      </c>
      <c r="G43" s="36" t="n">
        <v>5400</v>
      </c>
      <c r="H43" s="37"/>
      <c r="I43" s="38" t="n">
        <f aca="false">MIN(E43:G43)</f>
        <v>1000</v>
      </c>
      <c r="J43" s="18" t="n">
        <f aca="false">INDEX($C$2:$G$2,MATCH(I43,C43:G43,0))</f>
        <v>3500</v>
      </c>
      <c r="K43" s="19"/>
      <c r="L43" s="20" t="n">
        <f aca="false">C43/$B43-1</f>
        <v>-0.830414746543779</v>
      </c>
      <c r="M43" s="20" t="n">
        <f aca="false">D43/$B43-1</f>
        <v>-0.628978494623656</v>
      </c>
      <c r="N43" s="20" t="n">
        <f aca="false">E43/$B43-1</f>
        <v>-0.35</v>
      </c>
      <c r="O43" s="20" t="n">
        <f aca="false">F43/$B43-1</f>
        <v>-0.923195084485407</v>
      </c>
      <c r="P43" s="20" t="n">
        <f aca="false">G43/$B43-1</f>
        <v>-0.585253456221198</v>
      </c>
      <c r="Q43" s="39" t="n">
        <v>0</v>
      </c>
    </row>
    <row r="44" customFormat="false" ht="15" hidden="false" customHeight="false" outlineLevel="0" collapsed="false">
      <c r="A44" s="35" t="s">
        <v>74</v>
      </c>
      <c r="B44" s="36" t="n">
        <v>117535</v>
      </c>
      <c r="C44" s="36" t="n">
        <v>18000</v>
      </c>
      <c r="D44" s="36" t="n">
        <v>43605.45</v>
      </c>
      <c r="E44" s="36" t="n">
        <v>76398</v>
      </c>
      <c r="F44" s="36" t="n">
        <v>85000</v>
      </c>
      <c r="G44" s="36" t="n">
        <v>65000</v>
      </c>
      <c r="H44" s="37"/>
      <c r="I44" s="38" t="n">
        <f aca="false">MIN(E44:G44)</f>
        <v>65000</v>
      </c>
      <c r="J44" s="18" t="n">
        <f aca="false">INDEX($C$2:$G$2,MATCH(I44,C44:G44,0))</f>
        <v>2462</v>
      </c>
      <c r="K44" s="19"/>
      <c r="L44" s="20" t="n">
        <f aca="false">C44/$B44-1</f>
        <v>-0.846854128557451</v>
      </c>
      <c r="M44" s="20" t="n">
        <f aca="false">D44/$B44-1</f>
        <v>-0.629000297783639</v>
      </c>
      <c r="N44" s="20" t="n">
        <f aca="false">E44/$B44-1</f>
        <v>-0.349997872974008</v>
      </c>
      <c r="O44" s="20" t="n">
        <f aca="false">F44/$B44-1</f>
        <v>-0.276811162632407</v>
      </c>
      <c r="P44" s="20" t="n">
        <f aca="false">G44/$B44-1</f>
        <v>-0.446973242013017</v>
      </c>
      <c r="Q44" s="39" t="n">
        <v>1</v>
      </c>
    </row>
    <row r="45" customFormat="false" ht="15" hidden="false" customHeight="false" outlineLevel="0" collapsed="false">
      <c r="A45" s="35" t="s">
        <v>75</v>
      </c>
      <c r="B45" s="36" t="n">
        <v>22729</v>
      </c>
      <c r="C45" s="36" t="n">
        <v>3864</v>
      </c>
      <c r="D45" s="36" t="n">
        <v>8432.55</v>
      </c>
      <c r="E45" s="36" t="n">
        <v>14774</v>
      </c>
      <c r="F45" s="36" t="n">
        <v>15000</v>
      </c>
      <c r="G45" s="36" t="n">
        <v>18000</v>
      </c>
      <c r="H45" s="37"/>
      <c r="I45" s="38" t="n">
        <f aca="false">MIN(E45:G45)</f>
        <v>14774</v>
      </c>
      <c r="J45" s="18" t="n">
        <f aca="false">INDEX($C$2:$G$2,MATCH(I45,C45:G45,0))</f>
        <v>2837</v>
      </c>
      <c r="K45" s="19"/>
      <c r="L45" s="20" t="n">
        <f aca="false">C45/$B45-1</f>
        <v>-0.829996920234062</v>
      </c>
      <c r="M45" s="20" t="n">
        <f aca="false">D45/$B45-1</f>
        <v>-0.628995996304281</v>
      </c>
      <c r="N45" s="20" t="n">
        <f aca="false">E45/$B45-1</f>
        <v>-0.349993400501562</v>
      </c>
      <c r="O45" s="20" t="n">
        <f aca="false">F45/$B45-1</f>
        <v>-0.34005015618813</v>
      </c>
      <c r="P45" s="20" t="n">
        <f aca="false">G45/$B45-1</f>
        <v>-0.208060187425756</v>
      </c>
      <c r="Q45" s="39" t="n">
        <v>5</v>
      </c>
    </row>
    <row r="46" customFormat="false" ht="15" hidden="false" customHeight="false" outlineLevel="0" collapsed="false">
      <c r="A46" s="35" t="s">
        <v>76</v>
      </c>
      <c r="B46" s="36" t="n">
        <v>27699</v>
      </c>
      <c r="C46" s="36" t="n">
        <v>1014</v>
      </c>
      <c r="D46" s="36" t="n">
        <v>10276.35</v>
      </c>
      <c r="E46" s="36" t="n">
        <v>18004</v>
      </c>
      <c r="F46" s="36" t="n">
        <v>20000</v>
      </c>
      <c r="G46" s="36" t="n">
        <v>22000</v>
      </c>
      <c r="H46" s="37"/>
      <c r="I46" s="38" t="n">
        <f aca="false">MIN(E46:G46)</f>
        <v>18004</v>
      </c>
      <c r="J46" s="18" t="n">
        <f aca="false">INDEX($C$2:$G$2,MATCH(I46,C46:G46,0))</f>
        <v>2837</v>
      </c>
      <c r="K46" s="19"/>
      <c r="L46" s="20" t="n">
        <f aca="false">C46/$B46-1</f>
        <v>-0.963392180223113</v>
      </c>
      <c r="M46" s="20" t="n">
        <f aca="false">D46/$B46-1</f>
        <v>-0.628999241849886</v>
      </c>
      <c r="N46" s="20" t="n">
        <f aca="false">E46/$B46-1</f>
        <v>-0.350012635835229</v>
      </c>
      <c r="O46" s="20" t="n">
        <f aca="false">F46/$B46-1</f>
        <v>-0.277952272645222</v>
      </c>
      <c r="P46" s="20" t="n">
        <f aca="false">G46/$B46-1</f>
        <v>-0.205747499909744</v>
      </c>
      <c r="Q46" s="39" t="n">
        <v>0</v>
      </c>
    </row>
    <row r="47" customFormat="false" ht="15" hidden="false" customHeight="false" outlineLevel="0" collapsed="false">
      <c r="A47" s="35" t="s">
        <v>77</v>
      </c>
      <c r="B47" s="36" t="n">
        <v>2598</v>
      </c>
      <c r="C47" s="36" t="n">
        <v>1067.2</v>
      </c>
      <c r="D47" s="36" t="n">
        <v>963.9</v>
      </c>
      <c r="E47" s="36" t="n">
        <v>1689</v>
      </c>
      <c r="F47" s="36" t="n">
        <v>2000</v>
      </c>
      <c r="G47" s="36" t="n">
        <v>1800</v>
      </c>
      <c r="H47" s="37"/>
      <c r="I47" s="38" t="n">
        <f aca="false">MIN(E47:G47)</f>
        <v>1689</v>
      </c>
      <c r="J47" s="18" t="n">
        <f aca="false">INDEX($C$2:$G$2,MATCH(I47,C47:G47,0))</f>
        <v>2837</v>
      </c>
      <c r="K47" s="19"/>
      <c r="L47" s="20" t="n">
        <f aca="false">C47/$B47-1</f>
        <v>-0.589222478829869</v>
      </c>
      <c r="M47" s="20" t="n">
        <f aca="false">D47/$B47-1</f>
        <v>-0.628983833718245</v>
      </c>
      <c r="N47" s="20" t="n">
        <f aca="false">E47/$B47-1</f>
        <v>-0.349884526558891</v>
      </c>
      <c r="O47" s="20" t="n">
        <f aca="false">F47/$B47-1</f>
        <v>-0.230177059276366</v>
      </c>
      <c r="P47" s="20" t="n">
        <f aca="false">G47/$B47-1</f>
        <v>-0.30715935334873</v>
      </c>
      <c r="Q47" s="39" t="n">
        <v>0</v>
      </c>
    </row>
    <row r="48" customFormat="false" ht="15" hidden="false" customHeight="false" outlineLevel="0" collapsed="false">
      <c r="A48" s="35" t="s">
        <v>78</v>
      </c>
      <c r="B48" s="36" t="n">
        <v>18296</v>
      </c>
      <c r="C48" s="36" t="n">
        <v>8500</v>
      </c>
      <c r="D48" s="36" t="n">
        <v>6787.9</v>
      </c>
      <c r="E48" s="36" t="n">
        <v>11892</v>
      </c>
      <c r="F48" s="36" t="n">
        <v>15000</v>
      </c>
      <c r="G48" s="36" t="n">
        <v>14700</v>
      </c>
      <c r="H48" s="37"/>
      <c r="I48" s="38" t="n">
        <f aca="false">MIN(E48:G48)</f>
        <v>11892</v>
      </c>
      <c r="J48" s="18" t="n">
        <f aca="false">INDEX($C$2:$G$2,MATCH(I48,C48:G48,0))</f>
        <v>2837</v>
      </c>
      <c r="K48" s="19"/>
      <c r="L48" s="20" t="n">
        <f aca="false">C48/$B48-1</f>
        <v>-0.535417577612593</v>
      </c>
      <c r="M48" s="20" t="n">
        <f aca="false">D48/$B48-1</f>
        <v>-0.628995408832532</v>
      </c>
      <c r="N48" s="20" t="n">
        <f aca="false">E48/$B48-1</f>
        <v>-0.35002186270223</v>
      </c>
      <c r="O48" s="20" t="n">
        <f aca="false">F48/$B48-1</f>
        <v>-0.180148666375164</v>
      </c>
      <c r="P48" s="20" t="n">
        <f aca="false">G48/$B48-1</f>
        <v>-0.196545693047661</v>
      </c>
      <c r="Q48" s="39" t="n">
        <v>0</v>
      </c>
    </row>
    <row r="49" customFormat="false" ht="15" hidden="false" customHeight="false" outlineLevel="0" collapsed="false">
      <c r="A49" s="35" t="s">
        <v>79</v>
      </c>
      <c r="B49" s="36" t="n">
        <v>7858</v>
      </c>
      <c r="C49" s="36" t="n">
        <v>7500</v>
      </c>
      <c r="D49" s="36" t="n">
        <v>4239.2</v>
      </c>
      <c r="E49" s="36" t="n">
        <v>6035</v>
      </c>
      <c r="F49" s="36" t="n">
        <v>7000</v>
      </c>
      <c r="G49" s="36" t="n">
        <v>8800</v>
      </c>
      <c r="H49" s="37"/>
      <c r="I49" s="38" t="n">
        <f aca="false">MIN(E49:G49)</f>
        <v>6035</v>
      </c>
      <c r="J49" s="18" t="n">
        <f aca="false">INDEX($C$2:$G$2,MATCH(I49,C49:G49,0))</f>
        <v>2837</v>
      </c>
      <c r="K49" s="19"/>
      <c r="L49" s="20" t="n">
        <f aca="false">C49/$B49-1</f>
        <v>-0.0455586663273098</v>
      </c>
      <c r="M49" s="20" t="n">
        <f aca="false">D49/$B49-1</f>
        <v>-0.460524306439298</v>
      </c>
      <c r="N49" s="20" t="n">
        <f aca="false">E49/$B49-1</f>
        <v>-0.231992873504709</v>
      </c>
      <c r="O49" s="20" t="n">
        <f aca="false">F49/$B49-1</f>
        <v>-0.109188088572156</v>
      </c>
      <c r="P49" s="20" t="n">
        <f aca="false">G49/$B49-1</f>
        <v>0.11987783150929</v>
      </c>
      <c r="Q49" s="39" t="n">
        <v>6</v>
      </c>
    </row>
    <row r="50" customFormat="false" ht="15" hidden="false" customHeight="false" outlineLevel="0" collapsed="false">
      <c r="A50" s="35" t="s">
        <v>80</v>
      </c>
      <c r="B50" s="36" t="n">
        <v>7030</v>
      </c>
      <c r="C50" s="36" t="n">
        <v>2208</v>
      </c>
      <c r="D50" s="36" t="n">
        <v>2608.2</v>
      </c>
      <c r="E50" s="36" t="n">
        <v>4570</v>
      </c>
      <c r="F50" s="36" t="n">
        <v>5500</v>
      </c>
      <c r="G50" s="36" t="n">
        <v>3400</v>
      </c>
      <c r="H50" s="37"/>
      <c r="I50" s="38" t="n">
        <f aca="false">MIN(E50:G50)</f>
        <v>3400</v>
      </c>
      <c r="J50" s="18" t="n">
        <f aca="false">INDEX($C$2:$G$2,MATCH(I50,C50:G50,0))</f>
        <v>2462</v>
      </c>
      <c r="K50" s="19"/>
      <c r="L50" s="20" t="n">
        <f aca="false">C50/$B50-1</f>
        <v>-0.685917496443812</v>
      </c>
      <c r="M50" s="20" t="n">
        <f aca="false">D50/$B50-1</f>
        <v>-0.628990042674253</v>
      </c>
      <c r="N50" s="20" t="n">
        <f aca="false">E50/$B50-1</f>
        <v>-0.349928876244666</v>
      </c>
      <c r="O50" s="20" t="n">
        <f aca="false">F50/$B50-1</f>
        <v>-0.217638691322902</v>
      </c>
      <c r="P50" s="20" t="n">
        <f aca="false">G50/$B50-1</f>
        <v>-0.516358463726885</v>
      </c>
      <c r="Q50" s="39" t="n">
        <v>3</v>
      </c>
    </row>
    <row r="51" customFormat="false" ht="15" hidden="false" customHeight="false" outlineLevel="0" collapsed="false">
      <c r="A51" s="35" t="s">
        <v>81</v>
      </c>
      <c r="B51" s="36" t="n">
        <v>1556</v>
      </c>
      <c r="C51" s="36" t="n">
        <v>367</v>
      </c>
      <c r="D51" s="36" t="n">
        <v>577.15</v>
      </c>
      <c r="E51" s="36" t="n">
        <v>1011</v>
      </c>
      <c r="F51" s="36" t="n">
        <v>1000</v>
      </c>
      <c r="G51" s="36" t="n">
        <v>523.26</v>
      </c>
      <c r="H51" s="37"/>
      <c r="I51" s="38" t="n">
        <f aca="false">MIN(E51:G51)</f>
        <v>523.26</v>
      </c>
      <c r="J51" s="18" t="n">
        <f aca="false">INDEX($C$2:$G$2,MATCH(I51,C51:G51,0))</f>
        <v>2462</v>
      </c>
      <c r="K51" s="19"/>
      <c r="L51" s="20" t="n">
        <f aca="false">C51/$B51-1</f>
        <v>-0.76413881748072</v>
      </c>
      <c r="M51" s="20" t="n">
        <f aca="false">D51/$B51-1</f>
        <v>-0.629080976863753</v>
      </c>
      <c r="N51" s="20" t="n">
        <f aca="false">E51/$B51-1</f>
        <v>-0.35025706940874</v>
      </c>
      <c r="O51" s="20" t="n">
        <f aca="false">F51/$B51-1</f>
        <v>-0.3573264781491</v>
      </c>
      <c r="P51" s="20" t="n">
        <f aca="false">G51/$B51-1</f>
        <v>-0.663714652956298</v>
      </c>
      <c r="Q51" s="39" t="n">
        <v>0</v>
      </c>
    </row>
    <row r="52" customFormat="false" ht="15" hidden="false" customHeight="false" outlineLevel="0" collapsed="false">
      <c r="A52" s="35" t="s">
        <v>82</v>
      </c>
      <c r="B52" s="36" t="n">
        <v>1040</v>
      </c>
      <c r="C52" s="36" t="n">
        <v>263</v>
      </c>
      <c r="D52" s="36" t="n">
        <v>385.7</v>
      </c>
      <c r="E52" s="36" t="n">
        <v>676</v>
      </c>
      <c r="F52" s="36" t="n">
        <v>600</v>
      </c>
      <c r="G52" s="36" t="n">
        <v>361.25</v>
      </c>
      <c r="H52" s="37"/>
      <c r="I52" s="38" t="n">
        <f aca="false">MIN(E52:G52)</f>
        <v>361.25</v>
      </c>
      <c r="J52" s="18" t="n">
        <f aca="false">INDEX($C$2:$G$2,MATCH(I52,C52:G52,0))</f>
        <v>2462</v>
      </c>
      <c r="K52" s="19"/>
      <c r="L52" s="20" t="n">
        <f aca="false">C52/$B52-1</f>
        <v>-0.747115384615385</v>
      </c>
      <c r="M52" s="20" t="n">
        <f aca="false">D52/$B52-1</f>
        <v>-0.629134615384615</v>
      </c>
      <c r="N52" s="20" t="n">
        <f aca="false">E52/$B52-1</f>
        <v>-0.35</v>
      </c>
      <c r="O52" s="20" t="n">
        <f aca="false">F52/$B52-1</f>
        <v>-0.423076923076923</v>
      </c>
      <c r="P52" s="20" t="n">
        <f aca="false">G52/$B52-1</f>
        <v>-0.652644230769231</v>
      </c>
      <c r="Q52" s="39" t="n">
        <v>0</v>
      </c>
    </row>
    <row r="53" customFormat="false" ht="15" hidden="false" customHeight="false" outlineLevel="0" collapsed="false">
      <c r="A53" s="35" t="s">
        <v>83</v>
      </c>
      <c r="B53" s="36" t="n">
        <v>727</v>
      </c>
      <c r="C53" s="36" t="n">
        <v>127</v>
      </c>
      <c r="D53" s="36" t="n">
        <v>269.5</v>
      </c>
      <c r="E53" s="36" t="n">
        <v>473</v>
      </c>
      <c r="F53" s="36" t="n">
        <v>300</v>
      </c>
      <c r="G53" s="36" t="n">
        <v>201.42</v>
      </c>
      <c r="H53" s="37"/>
      <c r="I53" s="38" t="n">
        <f aca="false">MIN(E53:G53)</f>
        <v>201.42</v>
      </c>
      <c r="J53" s="18" t="n">
        <f aca="false">INDEX($C$2:$G$2,MATCH(I53,C53:G53,0))</f>
        <v>2462</v>
      </c>
      <c r="K53" s="19"/>
      <c r="L53" s="20" t="n">
        <f aca="false">C53/$B53-1</f>
        <v>-0.825309491059147</v>
      </c>
      <c r="M53" s="20" t="n">
        <f aca="false">D53/$B53-1</f>
        <v>-0.6292984869326</v>
      </c>
      <c r="N53" s="20" t="n">
        <f aca="false">E53/$B53-1</f>
        <v>-0.349381017881706</v>
      </c>
      <c r="O53" s="20" t="n">
        <f aca="false">F53/$B53-1</f>
        <v>-0.587345254470426</v>
      </c>
      <c r="P53" s="20" t="n">
        <f aca="false">G53/$B53-1</f>
        <v>-0.722943603851444</v>
      </c>
      <c r="Q53" s="39" t="n">
        <v>0</v>
      </c>
    </row>
    <row r="54" customFormat="false" ht="15" hidden="false" customHeight="false" outlineLevel="0" collapsed="false">
      <c r="A54" s="35" t="s">
        <v>84</v>
      </c>
      <c r="B54" s="36" t="n">
        <v>779</v>
      </c>
      <c r="C54" s="36" t="n">
        <v>460</v>
      </c>
      <c r="D54" s="36" t="n">
        <v>288.75</v>
      </c>
      <c r="E54" s="36" t="n">
        <v>506</v>
      </c>
      <c r="F54" s="36" t="n">
        <v>600</v>
      </c>
      <c r="G54" s="36" t="n">
        <v>650</v>
      </c>
      <c r="H54" s="37"/>
      <c r="I54" s="38" t="n">
        <f aca="false">MIN(E54:G54)</f>
        <v>506</v>
      </c>
      <c r="J54" s="18" t="n">
        <f aca="false">INDEX($C$2:$G$2,MATCH(I54,C54:G54,0))</f>
        <v>2837</v>
      </c>
      <c r="K54" s="19"/>
      <c r="L54" s="20" t="n">
        <f aca="false">C54/$B54-1</f>
        <v>-0.409499358151476</v>
      </c>
      <c r="M54" s="20" t="n">
        <f aca="false">D54/$B54-1</f>
        <v>-0.629332477535302</v>
      </c>
      <c r="N54" s="20" t="n">
        <f aca="false">E54/$B54-1</f>
        <v>-0.350449293966624</v>
      </c>
      <c r="O54" s="20" t="n">
        <f aca="false">F54/$B54-1</f>
        <v>-0.229781771501926</v>
      </c>
      <c r="P54" s="20" t="n">
        <f aca="false">G54/$B54-1</f>
        <v>-0.165596919127086</v>
      </c>
      <c r="Q54" s="39" t="n">
        <v>0</v>
      </c>
    </row>
    <row r="55" customFormat="false" ht="15" hidden="false" customHeight="false" outlineLevel="0" collapsed="false">
      <c r="A55" s="35" t="s">
        <v>85</v>
      </c>
      <c r="B55" s="36" t="n">
        <v>39000</v>
      </c>
      <c r="C55" s="36" t="n">
        <v>120000</v>
      </c>
      <c r="D55" s="36" t="n">
        <v>68000</v>
      </c>
      <c r="E55" s="36" t="n">
        <v>42070</v>
      </c>
      <c r="F55" s="36" t="n">
        <v>86000</v>
      </c>
      <c r="G55" s="36" t="n">
        <v>139927</v>
      </c>
      <c r="H55" s="37"/>
      <c r="I55" s="38" t="n">
        <f aca="false">MIN(E55:G55)</f>
        <v>42070</v>
      </c>
      <c r="J55" s="18" t="n">
        <f aca="false">INDEX($C$2:$G$2,MATCH(I55,C55:G55,0))</f>
        <v>2837</v>
      </c>
      <c r="K55" s="19"/>
      <c r="L55" s="15" t="n">
        <f aca="false">C55</f>
        <v>120000</v>
      </c>
      <c r="M55" s="15" t="n">
        <f aca="false">D55</f>
        <v>68000</v>
      </c>
      <c r="N55" s="15" t="n">
        <f aca="false">E55</f>
        <v>42070</v>
      </c>
      <c r="O55" s="15" t="n">
        <f aca="false">F55</f>
        <v>86000</v>
      </c>
      <c r="P55" s="15" t="n">
        <f aca="false">G55</f>
        <v>139927</v>
      </c>
      <c r="Q55" s="39" t="n">
        <v>12</v>
      </c>
    </row>
    <row r="56" customFormat="false" ht="15" hidden="false" customHeight="false" outlineLevel="0" collapsed="false">
      <c r="A56" s="23" t="s">
        <v>86</v>
      </c>
      <c r="B56" s="41" t="n">
        <f aca="false">SUM(B2:B55)</f>
        <v>1096326</v>
      </c>
      <c r="C56" s="41" t="n">
        <f aca="false">SUM(C2:C55)</f>
        <v>341277.2</v>
      </c>
      <c r="D56" s="41" t="n">
        <f aca="false">SUM(D2:D55)</f>
        <v>394854.15</v>
      </c>
      <c r="E56" s="41" t="n">
        <f aca="false">SUM(E2:E55)</f>
        <v>622951</v>
      </c>
      <c r="F56" s="41" t="n">
        <f aca="false">SUM(F2:F55)</f>
        <v>704000</v>
      </c>
      <c r="G56" s="41" t="n">
        <f aca="false">SUM(G2:G55)</f>
        <v>773484.6</v>
      </c>
      <c r="H56" s="41"/>
      <c r="I56" s="42" t="n">
        <f aca="false">SUM(I2:I55)</f>
        <v>531072.93</v>
      </c>
      <c r="J56" s="26"/>
      <c r="K56" s="26"/>
      <c r="L56" s="24" t="n">
        <f aca="false">SUM(L2:L55)</f>
        <v>119961.379518299</v>
      </c>
      <c r="M56" s="24" t="n">
        <f aca="false">SUM(M2:M55)</f>
        <v>67968.741533398</v>
      </c>
      <c r="N56" s="24" t="n">
        <f aca="false">SUM(N2:N55)</f>
        <v>42049.788526735</v>
      </c>
      <c r="O56" s="24" t="n">
        <f aca="false">SUM(O2:O55)</f>
        <v>85986.4375200017</v>
      </c>
      <c r="P56" s="24" t="n">
        <f aca="false">SUM(P2:P55)</f>
        <v>139906.545028118</v>
      </c>
    </row>
  </sheetData>
  <conditionalFormatting sqref="L2:P5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2026-10-13T17:27:48Z</dcterms:created>
  <dc:creator>Bruno Diniz Goncalves</dc:creator>
  <dc:description/>
  <dc:language>en-US</dc:language>
  <cp:lastModifiedBy>Bruno Diniz Goncalves</cp:lastModifiedBy>
  <dcterms:modified xsi:type="dcterms:W3CDTF">2026-10-13T19:39:42Z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