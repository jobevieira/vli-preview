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1" autoFilterDateGrouping="1"/>
  </bookViews>
  <sheets>
    <sheet xmlns:r="http://schemas.openxmlformats.org/officeDocument/2006/relationships" name="Participação" sheetId="1" state="visible" r:id="rId1"/>
    <sheet xmlns:r="http://schemas.openxmlformats.org/officeDocument/2006/relationships" name="Publicidade" sheetId="2" state="visible" r:id="rId2"/>
    <sheet xmlns:r="http://schemas.openxmlformats.org/officeDocument/2006/relationships" name="Conteúdo Institucional" sheetId="3" state="visible" r:id="rId3"/>
    <sheet xmlns:r="http://schemas.openxmlformats.org/officeDocument/2006/relationships" name="Comunicação Digital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&quot;R$&quot;\ * #,##0.00_-;\-&quot;R$&quot;\ * #,##0.00_-;_-&quot;R$&quot;\ * &quot;-&quot;??_-;_-@_-"/>
    <numFmt numFmtId="165" formatCode="#,##0.00_ ;\-#,##0.00\ "/>
  </numFmts>
  <fonts count="6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color theme="1"/>
      <sz val="10"/>
    </font>
    <font>
      <name val="Arial"/>
      <family val="2"/>
      <sz val="10"/>
    </font>
    <font>
      <name val="Arial"/>
      <family val="2"/>
      <color theme="0"/>
      <sz val="10"/>
    </font>
  </fonts>
  <fills count="13">
    <fill>
      <patternFill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2" tint="-0.0999786370433668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</borders>
  <cellStyleXfs count="2">
    <xf numFmtId="0" fontId="1" fillId="0" borderId="0"/>
    <xf numFmtId="9" fontId="1" fillId="0" borderId="0"/>
  </cellStyleXfs>
  <cellXfs count="63">
    <xf numFmtId="0" fontId="0" fillId="0" borderId="0" pivotButton="0" quotePrefix="0" xfId="0"/>
    <xf numFmtId="164" fontId="3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164" fontId="5" fillId="9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5" fillId="9" borderId="2" applyAlignment="1" pivotButton="0" quotePrefix="0" xfId="0">
      <alignment horizontal="center" vertical="center"/>
    </xf>
    <xf numFmtId="164" fontId="5" fillId="9" borderId="2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/>
    </xf>
    <xf numFmtId="165" fontId="0" fillId="3" borderId="2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5" fontId="0" fillId="11" borderId="2" applyAlignment="1" pivotButton="0" quotePrefix="0" xfId="0">
      <alignment horizontal="right"/>
    </xf>
    <xf numFmtId="164" fontId="0" fillId="11" borderId="2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9" fontId="0" fillId="3" borderId="2" applyAlignment="1" pivotButton="0" quotePrefix="0" xfId="1">
      <alignment horizontal="center" vertical="center"/>
    </xf>
    <xf numFmtId="165" fontId="0" fillId="12" borderId="2" applyAlignment="1" pivotButton="0" quotePrefix="0" xfId="0">
      <alignment horizontal="right"/>
    </xf>
    <xf numFmtId="0" fontId="2" fillId="2" borderId="3" applyAlignment="1" pivotButton="0" quotePrefix="0" xfId="0">
      <alignment horizontal="justify" vertical="center"/>
    </xf>
    <xf numFmtId="165" fontId="2" fillId="8" borderId="2" applyAlignment="1" pivotButton="0" quotePrefix="0" xfId="0">
      <alignment horizontal="right" vertical="center"/>
    </xf>
    <xf numFmtId="165" fontId="2" fillId="8" borderId="4" applyAlignment="1" pivotButton="0" quotePrefix="0" xfId="0">
      <alignment horizontal="right" vertical="center"/>
    </xf>
    <xf numFmtId="164" fontId="2" fillId="0" borderId="0" applyAlignment="1" pivotButton="0" quotePrefix="0" xfId="0">
      <alignment horizontal="center" vertical="center"/>
    </xf>
    <xf numFmtId="4" fontId="0" fillId="10" borderId="2" applyAlignment="1" pivotButton="0" quotePrefix="0" xfId="0">
      <alignment horizontal="right"/>
    </xf>
    <xf numFmtId="4" fontId="0" fillId="0" borderId="2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0" fillId="11" borderId="2" applyAlignment="1" pivotButton="0" quotePrefix="0" xfId="0">
      <alignment horizontal="right"/>
    </xf>
    <xf numFmtId="4" fontId="0" fillId="12" borderId="2" applyAlignment="1" pivotButton="0" quotePrefix="0" xfId="0">
      <alignment horizontal="right"/>
    </xf>
    <xf numFmtId="4" fontId="2" fillId="8" borderId="2" applyAlignment="1" pivotButton="0" quotePrefix="0" xfId="0">
      <alignment horizontal="right" vertical="center"/>
    </xf>
    <xf numFmtId="4" fontId="2" fillId="8" borderId="4" applyAlignment="1" pivotButton="0" quotePrefix="0" xfId="0">
      <alignment horizontal="right" vertical="center"/>
    </xf>
    <xf numFmtId="0" fontId="4" fillId="3" borderId="2" applyAlignment="1" pivotButton="0" quotePrefix="0" xfId="0">
      <alignment horizontal="center"/>
    </xf>
    <xf numFmtId="165" fontId="0" fillId="3" borderId="2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0" fillId="11" borderId="2" applyAlignment="1" pivotButton="0" quotePrefix="0" xfId="0">
      <alignment horizontal="center"/>
    </xf>
    <xf numFmtId="165" fontId="0" fillId="12" borderId="2" applyAlignment="1" pivotButton="0" quotePrefix="0" xfId="0">
      <alignment horizontal="center"/>
    </xf>
    <xf numFmtId="165" fontId="2" fillId="8" borderId="2" applyAlignment="1" pivotButton="0" quotePrefix="0" xfId="0">
      <alignment horizontal="center" vertical="center"/>
    </xf>
    <xf numFmtId="165" fontId="2" fillId="8" borderId="4" applyAlignment="1" pivotButton="0" quotePrefix="0" xfId="0">
      <alignment horizontal="center" vertical="center"/>
    </xf>
    <xf numFmtId="164" fontId="3" fillId="3" borderId="1" applyAlignment="1" pivotButton="0" quotePrefix="0" xfId="0">
      <alignment horizontal="left" vertical="center"/>
    </xf>
    <xf numFmtId="164" fontId="5" fillId="9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5" fillId="9" borderId="2" applyAlignment="1" pivotButton="0" quotePrefix="0" xfId="0">
      <alignment horizontal="center" vertical="center"/>
    </xf>
    <xf numFmtId="164" fontId="5" fillId="9" borderId="2" applyAlignment="1" pivotButton="0" quotePrefix="0" xfId="0">
      <alignment horizontal="center" vertical="center" wrapText="1"/>
    </xf>
    <xf numFmtId="165" fontId="0" fillId="3" borderId="2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5" fontId="0" fillId="11" borderId="2" applyAlignment="1" pivotButton="0" quotePrefix="0" xfId="0">
      <alignment horizontal="right"/>
    </xf>
    <xf numFmtId="164" fontId="0" fillId="11" borderId="2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" fontId="0" fillId="3" borderId="2" applyAlignment="1" pivotButton="0" quotePrefix="0" xfId="0">
      <alignment horizontal="right"/>
    </xf>
    <xf numFmtId="165" fontId="0" fillId="12" borderId="2" applyAlignment="1" pivotButton="0" quotePrefix="0" xfId="0">
      <alignment horizontal="right"/>
    </xf>
    <xf numFmtId="165" fontId="2" fillId="8" borderId="2" applyAlignment="1" pivotButton="0" quotePrefix="0" xfId="0">
      <alignment horizontal="right" vertical="center"/>
    </xf>
    <xf numFmtId="165" fontId="2" fillId="8" borderId="4" applyAlignment="1" pivotButton="0" quotePrefix="0" xfId="0">
      <alignment horizontal="right" vertical="center"/>
    </xf>
    <xf numFmtId="164" fontId="2" fillId="0" borderId="0" applyAlignment="1" pivotButton="0" quotePrefix="0" xfId="0">
      <alignment horizontal="center" vertical="center"/>
    </xf>
    <xf numFmtId="1" fontId="0" fillId="10" borderId="2" applyAlignment="1" pivotButton="0" quotePrefix="0" xfId="0">
      <alignment horizontal="right"/>
    </xf>
    <xf numFmtId="165" fontId="0" fillId="3" borderId="2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0" fillId="11" borderId="2" applyAlignment="1" pivotButton="0" quotePrefix="0" xfId="0">
      <alignment horizontal="center"/>
    </xf>
    <xf numFmtId="1" fontId="0" fillId="3" borderId="2" applyAlignment="1" pivotButton="0" quotePrefix="0" xfId="0">
      <alignment horizontal="center"/>
    </xf>
    <xf numFmtId="165" fontId="0" fillId="12" borderId="2" applyAlignment="1" pivotButton="0" quotePrefix="0" xfId="0">
      <alignment horizontal="center"/>
    </xf>
    <xf numFmtId="165" fontId="2" fillId="8" borderId="2" applyAlignment="1" pivotButton="0" quotePrefix="0" xfId="0">
      <alignment horizontal="center" vertical="center"/>
    </xf>
    <xf numFmtId="165" fontId="2" fillId="8" borderId="4" applyAlignment="1" pivotButton="0" quotePrefix="0" xfId="0">
      <alignment horizontal="center" vertical="center"/>
    </xf>
  </cellXfs>
  <cellStyles count="2">
    <cellStyle name="Normal" xfId="0" builtinId="0"/>
    <cellStyle name="Porcentagem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Claude</author>
  </authors>
  <commentList>
    <comment ref="Q47" authorId="0" shapeId="0">
      <text>
        <t>Houve 1 manual de marca em 2025, mas o Monday não registra nº de lâminas; lançado 0. Ajustar.</t>
      </text>
    </comment>
    <comment ref="Q51" authorId="0" shapeId="0">
      <text>
        <t>Monday não registra horas; lançado 0.</t>
      </text>
    </comment>
    <comment ref="Q52" authorId="0" shapeId="0">
      <text>
        <t>Monday não registra horas; lançado 0.</t>
      </text>
    </comment>
    <comment ref="Q53" authorId="0" shapeId="0">
      <text>
        <t>Monday não registra horas; lançado 0.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Q47" authorId="0" shapeId="0">
      <text>
        <t>Houve 1 manual de marca em 2025, mas o Monday não registra nº de lâminas; lançado 0. Ajustar.</t>
      </text>
    </comment>
    <comment ref="Q51" authorId="0" shapeId="0">
      <text>
        <t>Monday não registra horas; lançado 0.</t>
      </text>
    </comment>
    <comment ref="Q52" authorId="0" shapeId="0">
      <text>
        <t>Monday não registra horas; lançado 0.</t>
      </text>
    </comment>
    <comment ref="Q53" authorId="0" shapeId="0">
      <text>
        <t>Monday não registra horas; lançado 0.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Q47" authorId="0" shapeId="0">
      <text>
        <t>Houve 1 manual de marca em 2025, mas o Monday não registra nº de lâminas; lançado 0. Ajustar.</t>
      </text>
    </comment>
    <comment ref="Q51" authorId="0" shapeId="0">
      <text>
        <t>Monday não registra horas; lançado 0.</t>
      </text>
    </comment>
    <comment ref="Q52" authorId="0" shapeId="0">
      <text>
        <t>Monday não registra horas; lançado 0.</t>
      </text>
    </comment>
    <comment ref="Q53" authorId="0" shapeId="0">
      <text>
        <t>Monday não registra horas; lançado 0.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H7" sqref="H7"/>
    </sheetView>
  </sheetViews>
  <sheetFormatPr baseColWidth="8" defaultRowHeight="15"/>
  <cols>
    <col width="22.5703125" bestFit="1" customWidth="1" min="1" max="1"/>
    <col width="18" bestFit="1" customWidth="1" min="2" max="4"/>
    <col width="15.85546875" bestFit="1" customWidth="1" min="5" max="5"/>
  </cols>
  <sheetData>
    <row r="1">
      <c r="A1" s="9" t="inlineStr">
        <is>
          <t>Fornecedores</t>
        </is>
      </c>
      <c r="B1" s="9" t="inlineStr">
        <is>
          <t>Publicidade</t>
        </is>
      </c>
      <c r="C1" s="9" t="inlineStr">
        <is>
          <t>Conteúdo</t>
        </is>
      </c>
      <c r="D1" s="9" t="inlineStr">
        <is>
          <t>Comunicação</t>
        </is>
      </c>
      <c r="E1" s="9" t="inlineStr">
        <is>
          <t>Nº participações</t>
        </is>
      </c>
    </row>
    <row r="2">
      <c r="A2" s="40" t="inlineStr">
        <is>
          <t>Aproach</t>
        </is>
      </c>
      <c r="B2" s="2" t="inlineStr">
        <is>
          <t>Cotou</t>
        </is>
      </c>
      <c r="C2" s="2" t="inlineStr">
        <is>
          <t>Cotou</t>
        </is>
      </c>
      <c r="D2" s="2" t="inlineStr">
        <is>
          <t>Cotou</t>
        </is>
      </c>
      <c r="E2" s="3">
        <f>COUNTIF(B2:D2,"Cotou")</f>
        <v/>
      </c>
    </row>
    <row r="3">
      <c r="A3" s="40" t="inlineStr">
        <is>
          <t>Artplan</t>
        </is>
      </c>
      <c r="B3" s="8" t="inlineStr">
        <is>
          <t>Não enviou proposta</t>
        </is>
      </c>
      <c r="C3" s="8" t="inlineStr">
        <is>
          <t>Não enviou proposta</t>
        </is>
      </c>
      <c r="D3" s="8" t="inlineStr">
        <is>
          <t>Não enviou proposta</t>
        </is>
      </c>
      <c r="E3" s="4">
        <f>COUNTIF(B3:D3,"Cotou")</f>
        <v/>
      </c>
    </row>
    <row r="4">
      <c r="A4" s="40" t="inlineStr">
        <is>
          <t>Atake - 360 Propaganda</t>
        </is>
      </c>
      <c r="B4" s="2" t="inlineStr">
        <is>
          <t>Cotou</t>
        </is>
      </c>
      <c r="C4" s="8" t="inlineStr">
        <is>
          <t>Não enviou proposta</t>
        </is>
      </c>
      <c r="D4" s="2" t="inlineStr">
        <is>
          <t>Cotou</t>
        </is>
      </c>
      <c r="E4" s="5">
        <f>COUNTIF(B4:D4,"Cotou")</f>
        <v/>
      </c>
    </row>
    <row r="5">
      <c r="A5" s="40" t="inlineStr">
        <is>
          <t>Edelman</t>
        </is>
      </c>
      <c r="B5" s="8" t="inlineStr">
        <is>
          <t>Não enviou proposta</t>
        </is>
      </c>
      <c r="C5" s="8" t="inlineStr">
        <is>
          <t>Não enviou proposta</t>
        </is>
      </c>
      <c r="D5" s="8" t="inlineStr">
        <is>
          <t>Não enviou proposta</t>
        </is>
      </c>
      <c r="E5" s="4">
        <f>COUNTIF(B5:D5,"Cotou")</f>
        <v/>
      </c>
    </row>
    <row r="6">
      <c r="A6" s="40" t="inlineStr">
        <is>
          <t xml:space="preserve">Imagem </t>
        </is>
      </c>
      <c r="B6" s="2" t="inlineStr">
        <is>
          <t>Cotou</t>
        </is>
      </c>
      <c r="C6" s="2" t="inlineStr">
        <is>
          <t>Cotou</t>
        </is>
      </c>
      <c r="D6" s="2" t="inlineStr">
        <is>
          <t>Cotou</t>
        </is>
      </c>
      <c r="E6" s="3">
        <f>COUNTIF(B6:D6,"Cotou")</f>
        <v/>
      </c>
    </row>
    <row r="7">
      <c r="A7" s="40" t="inlineStr">
        <is>
          <t>Intra</t>
        </is>
      </c>
      <c r="B7" s="8" t="inlineStr">
        <is>
          <t>Não enviou proposta</t>
        </is>
      </c>
      <c r="C7" s="2" t="inlineStr">
        <is>
          <t>Cotou</t>
        </is>
      </c>
      <c r="D7" s="8" t="inlineStr">
        <is>
          <t>Não enviou proposta</t>
        </is>
      </c>
      <c r="E7" s="6">
        <f>COUNTIF(B7:D7,"Cotou")</f>
        <v/>
      </c>
    </row>
    <row r="8">
      <c r="A8" s="40" t="inlineStr">
        <is>
          <t>JG</t>
        </is>
      </c>
      <c r="B8" s="2" t="inlineStr">
        <is>
          <t>Cotou</t>
        </is>
      </c>
      <c r="C8" s="2" t="inlineStr">
        <is>
          <t>Cotou</t>
        </is>
      </c>
      <c r="D8" s="2" t="inlineStr">
        <is>
          <t>Cotou</t>
        </is>
      </c>
      <c r="E8" s="3">
        <f>COUNTIF(B8:D8,"Cotou")</f>
        <v/>
      </c>
    </row>
    <row r="9">
      <c r="A9" s="40" t="inlineStr">
        <is>
          <t>Komuth</t>
        </is>
      </c>
      <c r="B9" s="2" t="inlineStr">
        <is>
          <t>Cotou</t>
        </is>
      </c>
      <c r="C9" s="2" t="inlineStr">
        <is>
          <t>Cotou</t>
        </is>
      </c>
      <c r="D9" s="2" t="inlineStr">
        <is>
          <t>Cotou</t>
        </is>
      </c>
      <c r="E9" s="3">
        <f>COUNTIF(B9:D9,"Cotou")</f>
        <v/>
      </c>
    </row>
    <row r="10">
      <c r="A10" s="40" t="inlineStr">
        <is>
          <t>Lapis Raro</t>
        </is>
      </c>
      <c r="B10" s="7" t="inlineStr">
        <is>
          <t>Declinou</t>
        </is>
      </c>
      <c r="C10" s="7" t="inlineStr">
        <is>
          <t>Declinou</t>
        </is>
      </c>
      <c r="D10" s="8" t="inlineStr">
        <is>
          <t>Não enviou proposta</t>
        </is>
      </c>
      <c r="E10" s="4">
        <f>COUNTIF(B10:D10,"Cotou")</f>
        <v/>
      </c>
    </row>
    <row r="11">
      <c r="A11" s="40" t="inlineStr">
        <is>
          <t>Máquina</t>
        </is>
      </c>
      <c r="B11" s="2" t="inlineStr">
        <is>
          <t>Cotou</t>
        </is>
      </c>
      <c r="C11" s="8" t="inlineStr">
        <is>
          <t>Não enviou proposta</t>
        </is>
      </c>
      <c r="D11" s="2" t="inlineStr">
        <is>
          <t>Cotou</t>
        </is>
      </c>
      <c r="E11" s="5">
        <f>COUNTIF(B11:D11,"Cotou")</f>
        <v/>
      </c>
    </row>
    <row r="12">
      <c r="A12" s="40" t="inlineStr">
        <is>
          <t>New Publicidade</t>
        </is>
      </c>
      <c r="B12" s="8" t="inlineStr">
        <is>
          <t>Não enviou proposta</t>
        </is>
      </c>
      <c r="C12" s="8" t="inlineStr">
        <is>
          <t>Não enviou proposta</t>
        </is>
      </c>
      <c r="D12" s="8" t="inlineStr">
        <is>
          <t>Não enviou proposta</t>
        </is>
      </c>
      <c r="E12" s="4">
        <f>COUNTIF(B12:D12,"Cotou")</f>
        <v/>
      </c>
    </row>
    <row r="13">
      <c r="A13" s="40" t="inlineStr">
        <is>
          <t>Quintal 22</t>
        </is>
      </c>
      <c r="B13" s="2" t="inlineStr">
        <is>
          <t>Cotou</t>
        </is>
      </c>
      <c r="C13" s="2" t="inlineStr">
        <is>
          <t>Cotou</t>
        </is>
      </c>
      <c r="D13" s="8" t="inlineStr">
        <is>
          <t>Não enviou proposta</t>
        </is>
      </c>
      <c r="E13" s="5">
        <f>COUNTIF(B13:D13,"Cotou")</f>
        <v/>
      </c>
    </row>
    <row r="14">
      <c r="A14" s="40" t="inlineStr">
        <is>
          <t>Smart</t>
        </is>
      </c>
      <c r="B14" s="2" t="inlineStr">
        <is>
          <t>Cotou</t>
        </is>
      </c>
      <c r="C14" s="2" t="inlineStr">
        <is>
          <t>Cotou</t>
        </is>
      </c>
      <c r="D14" s="2" t="inlineStr">
        <is>
          <t>Cotou</t>
        </is>
      </c>
      <c r="E14" s="3">
        <f>COUNTIF(B14:D14,"Cotou")</f>
        <v/>
      </c>
    </row>
    <row r="15">
      <c r="A15" s="40" t="inlineStr">
        <is>
          <t>Talent</t>
        </is>
      </c>
      <c r="B15" s="8" t="inlineStr">
        <is>
          <t>Não enviou proposta</t>
        </is>
      </c>
      <c r="C15" s="8" t="inlineStr">
        <is>
          <t>Não enviou proposta</t>
        </is>
      </c>
      <c r="D15" s="8" t="inlineStr">
        <is>
          <t>Não enviou proposta</t>
        </is>
      </c>
      <c r="E15" s="4">
        <f>COUNTIF(B15:D15,"Cotou")</f>
        <v/>
      </c>
    </row>
  </sheetData>
  <conditionalFormatting sqref="B2:D15">
    <cfRule type="dataBar" priority="1">
      <dataBar>
        <cfvo type="min"/>
        <cfvo type="max"/>
        <color rgb="FFFF555A"/>
      </dataBar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6"/>
  <sheetViews>
    <sheetView tabSelected="1" workbookViewId="0">
      <selection activeCell="M2" sqref="M2"/>
    </sheetView>
  </sheetViews>
  <sheetFormatPr baseColWidth="8" defaultRowHeight="15"/>
  <cols>
    <col width="42.140625" bestFit="1" customWidth="1" min="1" max="1"/>
    <col width="12.140625" customWidth="1" min="2" max="2"/>
    <col width="11.140625" customWidth="1" min="3" max="7"/>
    <col width="2.42578125" customWidth="1" min="8" max="8"/>
    <col width="11.42578125" customWidth="1" min="9" max="9"/>
    <col width="13.42578125" customWidth="1" min="10" max="10"/>
    <col width="2.42578125" customWidth="1" min="11" max="11"/>
    <col width="10.85546875" customWidth="1" min="12" max="16"/>
    <col width="16" customWidth="1" min="17" max="17"/>
  </cols>
  <sheetData>
    <row r="1" ht="51" customHeight="1">
      <c r="A1" s="41" t="inlineStr">
        <is>
          <t>Serviço</t>
        </is>
      </c>
      <c r="B1" s="41" t="inlineStr">
        <is>
          <t>Preço RC</t>
        </is>
      </c>
      <c r="C1" s="41" t="inlineStr">
        <is>
          <t>A</t>
        </is>
      </c>
      <c r="D1" s="41" t="inlineStr">
        <is>
          <t>B</t>
        </is>
      </c>
      <c r="E1" s="41" t="inlineStr">
        <is>
          <t>C</t>
        </is>
      </c>
      <c r="F1" s="41" t="inlineStr">
        <is>
          <t>D</t>
        </is>
      </c>
      <c r="G1" s="41" t="inlineStr">
        <is>
          <t>E</t>
        </is>
      </c>
      <c r="H1" s="42" t="n"/>
      <c r="I1" s="43" t="inlineStr">
        <is>
          <t>Menor Preço</t>
        </is>
      </c>
      <c r="J1" s="44" t="inlineStr">
        <is>
          <t>Fornecedor Menor Preço</t>
        </is>
      </c>
      <c r="K1" s="42" t="n"/>
      <c r="L1" s="41" t="inlineStr">
        <is>
          <t>A</t>
        </is>
      </c>
      <c r="M1" s="41" t="inlineStr">
        <is>
          <t>B</t>
        </is>
      </c>
      <c r="N1" s="41" t="inlineStr">
        <is>
          <t>C</t>
        </is>
      </c>
      <c r="O1" s="41" t="inlineStr">
        <is>
          <t>D</t>
        </is>
      </c>
      <c r="P1" s="41" t="inlineStr">
        <is>
          <t>E</t>
        </is>
      </c>
      <c r="Q1" s="41" t="inlineStr">
        <is>
          <t>Qtd anual estimada (base 2025)</t>
        </is>
      </c>
    </row>
    <row r="2">
      <c r="A2" s="14" t="inlineStr">
        <is>
          <t>Criação de post / card estático (texto e imagem)</t>
        </is>
      </c>
      <c r="B2" s="45" t="n">
        <v>4364</v>
      </c>
      <c r="C2" s="45" t="n">
        <v>1288</v>
      </c>
      <c r="D2" s="45" t="n">
        <v>1619.1</v>
      </c>
      <c r="E2" s="45" t="n">
        <v>2837</v>
      </c>
      <c r="F2" s="45" t="n">
        <v>3500</v>
      </c>
      <c r="G2" s="45" t="n">
        <v>2462</v>
      </c>
      <c r="H2" s="46" t="n"/>
      <c r="I2" s="47" t="n">
        <v>1288</v>
      </c>
      <c r="J2" s="48" t="inlineStr">
        <is>
          <t>A</t>
        </is>
      </c>
      <c r="K2" s="49" t="n"/>
      <c r="L2" s="20" t="n">
        <v>-0.7048579285059579</v>
      </c>
      <c r="M2" s="20" t="n">
        <v>-0.628987167736022</v>
      </c>
      <c r="N2" s="20" t="n">
        <v>-0.3499083409715857</v>
      </c>
      <c r="O2" s="20" t="n">
        <v>-0.1979835013748854</v>
      </c>
      <c r="P2" s="20" t="n">
        <v>-0.4358386801099908</v>
      </c>
      <c r="Q2" s="50" t="n">
        <v>120</v>
      </c>
    </row>
    <row r="3">
      <c r="A3" s="14" t="inlineStr">
        <is>
          <t>Criação de post / card carrossel / multiproduto</t>
        </is>
      </c>
      <c r="B3" s="45" t="n">
        <v>5866</v>
      </c>
      <c r="C3" s="45" t="n">
        <v>1656</v>
      </c>
      <c r="D3" s="45" t="n">
        <v>2176.3</v>
      </c>
      <c r="E3" s="45" t="n">
        <v>3813</v>
      </c>
      <c r="F3" s="45" t="n">
        <v>4500</v>
      </c>
      <c r="G3" s="45" t="n">
        <v>3162</v>
      </c>
      <c r="H3" s="46" t="n"/>
      <c r="I3" s="47" t="n">
        <v>1656</v>
      </c>
      <c r="J3" s="48" t="inlineStr">
        <is>
          <t>A</t>
        </is>
      </c>
      <c r="K3" s="49" t="n"/>
      <c r="L3" s="20" t="n">
        <v>-0.7176951926355268</v>
      </c>
      <c r="M3" s="20" t="n">
        <v>-0.6289976133651551</v>
      </c>
      <c r="N3" s="20" t="n">
        <v>-0.349982952608251</v>
      </c>
      <c r="O3" s="20" t="n">
        <v>-0.2328673712921923</v>
      </c>
      <c r="P3" s="20" t="n">
        <v>-0.4609614728946472</v>
      </c>
      <c r="Q3" s="50" t="n">
        <v>56</v>
      </c>
    </row>
    <row r="4">
      <c r="A4" s="14" t="inlineStr">
        <is>
          <t>Criação de post com animação 2D</t>
        </is>
      </c>
      <c r="B4" s="45" t="n">
        <v>8729</v>
      </c>
      <c r="C4" s="45" t="n">
        <v>3312</v>
      </c>
      <c r="D4" s="45" t="n">
        <v>2590.7</v>
      </c>
      <c r="E4" s="45" t="n">
        <v>5674</v>
      </c>
      <c r="F4" s="45" t="n">
        <v>5500</v>
      </c>
      <c r="G4" s="45" t="n">
        <v>5400</v>
      </c>
      <c r="H4" s="46" t="n"/>
      <c r="I4" s="47" t="n">
        <v>2590.7</v>
      </c>
      <c r="J4" s="48" t="inlineStr">
        <is>
          <t>B</t>
        </is>
      </c>
      <c r="K4" s="49" t="n"/>
      <c r="L4" s="20" t="n">
        <v>-0.6205750945125443</v>
      </c>
      <c r="M4" s="20" t="n">
        <v>-0.7032076984763432</v>
      </c>
      <c r="N4" s="20" t="n">
        <v>-0.3499828159010195</v>
      </c>
      <c r="O4" s="20" t="n">
        <v>-0.3699163707182953</v>
      </c>
      <c r="P4" s="20" t="n">
        <v>-0.3813724367052355</v>
      </c>
      <c r="Q4" s="50" t="n">
        <v>0</v>
      </c>
    </row>
    <row r="5">
      <c r="A5" s="14" t="inlineStr">
        <is>
          <t>Criação de thumbnail para vídeo</t>
        </is>
      </c>
      <c r="B5" s="45" t="n">
        <v>4364</v>
      </c>
      <c r="C5" s="45" t="n">
        <v>552</v>
      </c>
      <c r="D5" s="45" t="n">
        <v>1619.1</v>
      </c>
      <c r="E5" s="45" t="n">
        <v>2837</v>
      </c>
      <c r="F5" s="45" t="n">
        <v>3500</v>
      </c>
      <c r="G5" s="45" t="n">
        <v>1900</v>
      </c>
      <c r="H5" s="46" t="n"/>
      <c r="I5" s="47" t="n">
        <v>552</v>
      </c>
      <c r="J5" s="48" t="inlineStr">
        <is>
          <t>A</t>
        </is>
      </c>
      <c r="K5" s="49" t="n"/>
      <c r="L5" s="20" t="n">
        <v>-0.8735105407882676</v>
      </c>
      <c r="M5" s="20" t="n">
        <v>-0.628987167736022</v>
      </c>
      <c r="N5" s="20" t="n">
        <v>-0.3499083409715857</v>
      </c>
      <c r="O5" s="20" t="n">
        <v>-0.1979835013748854</v>
      </c>
      <c r="P5" s="20" t="n">
        <v>-0.5646196150320806</v>
      </c>
      <c r="Q5" s="50" t="n">
        <v>0</v>
      </c>
    </row>
    <row r="6">
      <c r="A6" s="14" t="inlineStr">
        <is>
          <t>Criação de post para blog (texto + imagem)</t>
        </is>
      </c>
      <c r="B6" s="45" t="n">
        <v>6546</v>
      </c>
      <c r="C6" s="45" t="n">
        <v>2392</v>
      </c>
      <c r="D6" s="45" t="n">
        <v>2428.65</v>
      </c>
      <c r="E6" s="45" t="n">
        <v>4255</v>
      </c>
      <c r="F6" s="45" t="n">
        <v>4000</v>
      </c>
      <c r="G6" s="45" t="n">
        <v>4540</v>
      </c>
      <c r="H6" s="46" t="n"/>
      <c r="I6" s="47" t="n">
        <v>2392</v>
      </c>
      <c r="J6" s="48" t="inlineStr">
        <is>
          <t>A</t>
        </is>
      </c>
      <c r="K6" s="49" t="n"/>
      <c r="L6" s="20" t="n">
        <v>-0.6345860067216621</v>
      </c>
      <c r="M6" s="20" t="n">
        <v>-0.6289871677360219</v>
      </c>
      <c r="N6" s="20" t="n">
        <v>-0.3499847234952643</v>
      </c>
      <c r="O6" s="20" t="n">
        <v>-0.3889398105713413</v>
      </c>
      <c r="P6" s="20" t="n">
        <v>-0.3064466849984724</v>
      </c>
      <c r="Q6" s="50" t="n">
        <v>0</v>
      </c>
    </row>
    <row r="7">
      <c r="A7" s="14" t="inlineStr">
        <is>
          <t>Produção de texto livre (1.200 toques)</t>
        </is>
      </c>
      <c r="B7" s="45" t="n">
        <v>844</v>
      </c>
      <c r="C7" s="45" t="n">
        <v>552</v>
      </c>
      <c r="D7" s="45" t="n">
        <v>2920.05</v>
      </c>
      <c r="E7" s="45" t="n">
        <v>549</v>
      </c>
      <c r="F7" s="45" t="n">
        <v>4000</v>
      </c>
      <c r="G7" s="45" t="n">
        <v>562.67</v>
      </c>
      <c r="H7" s="46" t="n"/>
      <c r="I7" s="47" t="n">
        <v>549</v>
      </c>
      <c r="J7" s="48" t="inlineStr">
        <is>
          <t>C</t>
        </is>
      </c>
      <c r="K7" s="49" t="n"/>
      <c r="L7" s="20" t="n">
        <v>-0.3459715639810427</v>
      </c>
      <c r="M7" s="20" t="n">
        <v>2.459774881516588</v>
      </c>
      <c r="N7" s="20" t="n">
        <v>-0.3495260663507109</v>
      </c>
      <c r="O7" s="20" t="n">
        <v>3.739336492890995</v>
      </c>
      <c r="P7" s="20" t="n">
        <v>-0.333329383886256</v>
      </c>
      <c r="Q7" s="50" t="n">
        <v>3</v>
      </c>
    </row>
    <row r="8">
      <c r="A8" s="14" t="inlineStr">
        <is>
          <t>Branded content / publieditorial</t>
        </is>
      </c>
      <c r="B8" s="45" t="n">
        <v>7946</v>
      </c>
      <c r="C8" s="45" t="n">
        <v>2208</v>
      </c>
      <c r="D8" s="45" t="n">
        <v>2948.05</v>
      </c>
      <c r="E8" s="45" t="n">
        <v>5165</v>
      </c>
      <c r="F8" s="45" t="n">
        <v>6000</v>
      </c>
      <c r="G8" s="51" t="n"/>
      <c r="H8" s="46" t="n"/>
      <c r="I8" s="47" t="n">
        <v>2208</v>
      </c>
      <c r="J8" s="48" t="inlineStr">
        <is>
          <t>A</t>
        </is>
      </c>
      <c r="K8" s="49" t="n"/>
      <c r="L8" s="20" t="n">
        <v>-0.7221243392902089</v>
      </c>
      <c r="M8" s="20" t="n">
        <v>-0.6289894286433426</v>
      </c>
      <c r="N8" s="20" t="n">
        <v>-0.3499874150515982</v>
      </c>
      <c r="O8" s="20" t="n">
        <v>-0.2449030958973069</v>
      </c>
      <c r="P8" s="20" t="n">
        <v>-1</v>
      </c>
      <c r="Q8" s="50" t="n">
        <v>0</v>
      </c>
    </row>
    <row r="9">
      <c r="A9" s="14" t="inlineStr">
        <is>
          <t>Criação de identidade visual (key visual)</t>
        </is>
      </c>
      <c r="B9" s="45" t="n">
        <v>13554</v>
      </c>
      <c r="C9" s="45" t="n">
        <v>4692</v>
      </c>
      <c r="D9" s="45" t="n">
        <v>5028.45</v>
      </c>
      <c r="E9" s="45" t="n">
        <v>8810</v>
      </c>
      <c r="F9" s="45" t="n">
        <v>11000</v>
      </c>
      <c r="G9" s="45" t="n">
        <v>8800</v>
      </c>
      <c r="H9" s="46" t="n"/>
      <c r="I9" s="47" t="n">
        <v>4692</v>
      </c>
      <c r="J9" s="48" t="inlineStr">
        <is>
          <t>A</t>
        </is>
      </c>
      <c r="K9" s="49" t="n"/>
      <c r="L9" s="20" t="n">
        <v>-0.6538291279327135</v>
      </c>
      <c r="M9" s="20" t="n">
        <v>-0.6290061974324923</v>
      </c>
      <c r="N9" s="20" t="n">
        <v>-0.3500073778958241</v>
      </c>
      <c r="O9" s="20" t="n">
        <v>-0.188431459347794</v>
      </c>
      <c r="P9" s="20" t="n">
        <v>-0.3507451674782353</v>
      </c>
      <c r="Q9" s="50" t="n">
        <v>17</v>
      </c>
    </row>
    <row r="10">
      <c r="A10" s="14" t="inlineStr">
        <is>
          <t>Criação de tema / conceito de campanha</t>
        </is>
      </c>
      <c r="B10" s="45" t="n">
        <v>27108</v>
      </c>
      <c r="C10" s="45" t="n">
        <v>1840</v>
      </c>
      <c r="D10" s="45" t="n">
        <v>10056.9</v>
      </c>
      <c r="E10" s="45" t="n">
        <v>17620</v>
      </c>
      <c r="F10" s="45" t="n">
        <v>18000</v>
      </c>
      <c r="G10" s="45" t="n">
        <v>25800</v>
      </c>
      <c r="H10" s="46" t="n"/>
      <c r="I10" s="47" t="n">
        <v>1840</v>
      </c>
      <c r="J10" s="48" t="inlineStr">
        <is>
          <t>A</t>
        </is>
      </c>
      <c r="K10" s="49" t="n"/>
      <c r="L10" s="20" t="n">
        <v>-0.9321233584181792</v>
      </c>
      <c r="M10" s="20" t="n">
        <v>-0.6290061974324923</v>
      </c>
      <c r="N10" s="20" t="n">
        <v>-0.3500073778958241</v>
      </c>
      <c r="O10" s="20" t="n">
        <v>-0.3359893758300133</v>
      </c>
      <c r="P10" s="20" t="n">
        <v>-0.04825143868968573</v>
      </c>
      <c r="Q10" s="50" t="n">
        <v>5</v>
      </c>
    </row>
    <row r="11">
      <c r="A11" s="14" t="inlineStr">
        <is>
          <t>Slogan</t>
        </is>
      </c>
      <c r="B11" s="45" t="n">
        <v>14545</v>
      </c>
      <c r="C11" s="45" t="n">
        <v>1104</v>
      </c>
      <c r="D11" s="45" t="n">
        <v>5396.3</v>
      </c>
      <c r="E11" s="45" t="n">
        <v>9454</v>
      </c>
      <c r="F11" s="45" t="n">
        <v>9000</v>
      </c>
      <c r="G11" s="45" t="n">
        <v>12000</v>
      </c>
      <c r="H11" s="46" t="n"/>
      <c r="I11" s="47" t="n">
        <v>1104</v>
      </c>
      <c r="J11" s="48" t="inlineStr">
        <is>
          <t>A</t>
        </is>
      </c>
      <c r="K11" s="49" t="n"/>
      <c r="L11" s="20" t="n">
        <v>-0.9240976280508766</v>
      </c>
      <c r="M11" s="20" t="n">
        <v>-0.6289927810244069</v>
      </c>
      <c r="N11" s="20" t="n">
        <v>-0.3500171880371261</v>
      </c>
      <c r="O11" s="20" t="n">
        <v>-0.3812306634582331</v>
      </c>
      <c r="P11" s="20" t="n">
        <v>-0.1749742179443108</v>
      </c>
      <c r="Q11" s="50" t="n">
        <v>0</v>
      </c>
    </row>
    <row r="12">
      <c r="A12" s="14" t="inlineStr">
        <is>
          <t>Moodboard</t>
        </is>
      </c>
      <c r="B12" s="45" t="n">
        <v>11785</v>
      </c>
      <c r="C12" s="45" t="n">
        <v>736</v>
      </c>
      <c r="D12" s="45" t="n">
        <v>4372.2</v>
      </c>
      <c r="E12" s="45" t="n">
        <v>7660</v>
      </c>
      <c r="F12" s="45" t="n">
        <v>8000</v>
      </c>
      <c r="G12" s="45" t="n">
        <v>7890</v>
      </c>
      <c r="H12" s="46" t="n"/>
      <c r="I12" s="47" t="n">
        <v>736</v>
      </c>
      <c r="J12" s="48" t="inlineStr">
        <is>
          <t>A</t>
        </is>
      </c>
      <c r="K12" s="49" t="n"/>
      <c r="L12" s="20" t="n">
        <v>-0.9375477301654646</v>
      </c>
      <c r="M12" s="20" t="n">
        <v>-0.6290029698769622</v>
      </c>
      <c r="N12" s="20" t="n">
        <v>-0.3500212134068731</v>
      </c>
      <c r="O12" s="20" t="n">
        <v>-0.3211709800593976</v>
      </c>
      <c r="P12" s="20" t="n">
        <v>-0.3305048790835808</v>
      </c>
      <c r="Q12" s="50" t="n">
        <v>0</v>
      </c>
    </row>
    <row r="13">
      <c r="A13" s="14" t="inlineStr">
        <is>
          <t>Planejamento de comunicação integrada</t>
        </is>
      </c>
      <c r="B13" s="45" t="n">
        <v>117535</v>
      </c>
      <c r="C13" s="45" t="n">
        <v>35000</v>
      </c>
      <c r="D13" s="45" t="n">
        <v>10901.45</v>
      </c>
      <c r="E13" s="45" t="n">
        <v>19100</v>
      </c>
      <c r="F13" s="45" t="n">
        <v>18000</v>
      </c>
      <c r="G13" s="45" t="n">
        <v>25000</v>
      </c>
      <c r="H13" s="46" t="n"/>
      <c r="I13" s="47" t="n">
        <v>10901.45</v>
      </c>
      <c r="J13" s="48" t="inlineStr">
        <is>
          <t>B</t>
        </is>
      </c>
      <c r="K13" s="49" t="n"/>
      <c r="L13" s="20" t="n">
        <v>-0.7022163610839325</v>
      </c>
      <c r="M13" s="20" t="n">
        <v>-0.9072493299868124</v>
      </c>
      <c r="N13" s="20" t="n">
        <v>-0.8374952141915174</v>
      </c>
      <c r="O13" s="20" t="n">
        <v>-0.846854128557451</v>
      </c>
      <c r="P13" s="20" t="n">
        <v>-0.7872974007742375</v>
      </c>
      <c r="Q13" s="50" t="n">
        <v>1</v>
      </c>
    </row>
    <row r="14">
      <c r="A14" s="14" t="inlineStr">
        <is>
          <t>Planejamento de campanha</t>
        </is>
      </c>
      <c r="B14" s="45" t="n">
        <v>58768</v>
      </c>
      <c r="C14" s="45" t="n">
        <v>4416</v>
      </c>
      <c r="D14" s="45" t="n">
        <v>5450.55</v>
      </c>
      <c r="E14" s="45" t="n">
        <v>9550</v>
      </c>
      <c r="F14" s="45" t="n">
        <v>10000</v>
      </c>
      <c r="G14" s="45" t="n">
        <v>12800</v>
      </c>
      <c r="H14" s="46" t="n"/>
      <c r="I14" s="47" t="n">
        <v>4416</v>
      </c>
      <c r="J14" s="48" t="inlineStr">
        <is>
          <t>A</t>
        </is>
      </c>
      <c r="K14" s="49" t="n"/>
      <c r="L14" s="20" t="n">
        <v>-0.9248570650694256</v>
      </c>
      <c r="M14" s="20" t="n">
        <v>-0.9072530969234958</v>
      </c>
      <c r="N14" s="20" t="n">
        <v>-0.8374965967873673</v>
      </c>
      <c r="O14" s="20" t="n">
        <v>-0.8298393683637354</v>
      </c>
      <c r="P14" s="20" t="n">
        <v>-0.7821943915055812</v>
      </c>
      <c r="Q14" s="50" t="n">
        <v>8</v>
      </c>
    </row>
    <row r="15">
      <c r="A15" s="14" t="inlineStr">
        <is>
          <t>Planejamento de mídia</t>
        </is>
      </c>
      <c r="B15" s="45" t="n">
        <v>41136</v>
      </c>
      <c r="C15" s="45" t="n">
        <v>15000</v>
      </c>
      <c r="D15" s="45" t="n">
        <v>3816.05</v>
      </c>
      <c r="E15" s="45" t="n">
        <v>6686</v>
      </c>
      <c r="F15" s="45" t="n">
        <v>8000</v>
      </c>
      <c r="G15" s="45" t="n">
        <v>8760</v>
      </c>
      <c r="H15" s="46" t="n"/>
      <c r="I15" s="47" t="n">
        <v>3816.05</v>
      </c>
      <c r="J15" s="48" t="inlineStr">
        <is>
          <t>B</t>
        </is>
      </c>
      <c r="K15" s="49" t="n"/>
      <c r="L15" s="20" t="n">
        <v>-0.6353558926487748</v>
      </c>
      <c r="M15" s="20" t="n">
        <v>-0.9072333236094905</v>
      </c>
      <c r="N15" s="20" t="n">
        <v>-0.8374659665499805</v>
      </c>
      <c r="O15" s="20" t="n">
        <v>-0.8055231427460132</v>
      </c>
      <c r="P15" s="20" t="n">
        <v>-0.7870478413068844</v>
      </c>
      <c r="Q15" s="50" t="n">
        <v>17</v>
      </c>
    </row>
    <row r="16">
      <c r="A16" s="14" t="inlineStr">
        <is>
          <t>Planejamento de ação promocional</t>
        </is>
      </c>
      <c r="B16" s="45" t="n">
        <v>41136</v>
      </c>
      <c r="C16" s="45" t="n">
        <v>5500</v>
      </c>
      <c r="D16" s="45" t="n">
        <v>15261.75</v>
      </c>
      <c r="E16" s="45" t="n">
        <v>26738</v>
      </c>
      <c r="F16" s="45" t="n">
        <v>28000</v>
      </c>
      <c r="G16" s="45" t="n">
        <v>37258</v>
      </c>
      <c r="H16" s="46" t="n"/>
      <c r="I16" s="47" t="n">
        <v>5500</v>
      </c>
      <c r="J16" s="48" t="inlineStr">
        <is>
          <t>A</t>
        </is>
      </c>
      <c r="K16" s="49" t="n"/>
      <c r="L16" s="20" t="n">
        <v>-0.8662971606378841</v>
      </c>
      <c r="M16" s="20" t="n">
        <v>-0.6289928529754959</v>
      </c>
      <c r="N16" s="20" t="n">
        <v>-0.3500097238428627</v>
      </c>
      <c r="O16" s="20" t="n">
        <v>-0.3193309996110463</v>
      </c>
      <c r="P16" s="20" t="n">
        <v>-0.09427265655387007</v>
      </c>
      <c r="Q16" s="50" t="n">
        <v>0</v>
      </c>
    </row>
    <row r="17">
      <c r="A17" s="14" t="inlineStr">
        <is>
          <t>Planejamento de eventos / feiras</t>
        </is>
      </c>
      <c r="B17" s="45" t="n">
        <v>58766</v>
      </c>
      <c r="C17" s="45" t="n">
        <v>6500</v>
      </c>
      <c r="D17" s="45" t="n">
        <v>21802.2</v>
      </c>
      <c r="E17" s="45" t="n">
        <v>38198</v>
      </c>
      <c r="F17" s="45" t="n">
        <v>35000</v>
      </c>
      <c r="G17" s="45" t="n">
        <v>53592</v>
      </c>
      <c r="H17" s="46" t="n"/>
      <c r="I17" s="47" t="n">
        <v>6500</v>
      </c>
      <c r="J17" s="48" t="inlineStr">
        <is>
          <t>A</t>
        </is>
      </c>
      <c r="K17" s="49" t="n"/>
      <c r="L17" s="20" t="n">
        <v>-0.8893918252050506</v>
      </c>
      <c r="M17" s="20" t="n">
        <v>-0.6289997617670081</v>
      </c>
      <c r="N17" s="20" t="n">
        <v>-0.3499982983357723</v>
      </c>
      <c r="O17" s="20" t="n">
        <v>-0.4044175203348875</v>
      </c>
      <c r="P17" s="20" t="n">
        <v>-0.08804410713677979</v>
      </c>
      <c r="Q17" s="50" t="n">
        <v>1</v>
      </c>
    </row>
    <row r="18">
      <c r="A18" s="14" t="inlineStr">
        <is>
          <t>Planejamento de brindes</t>
        </is>
      </c>
      <c r="B18" s="45" t="n">
        <v>29383</v>
      </c>
      <c r="C18" s="45" t="n">
        <v>2500</v>
      </c>
      <c r="D18" s="45" t="n">
        <v>10901.45</v>
      </c>
      <c r="E18" s="45" t="n">
        <v>19099</v>
      </c>
      <c r="F18" s="45" t="n">
        <v>7000</v>
      </c>
      <c r="G18" s="45" t="n">
        <v>26173</v>
      </c>
      <c r="H18" s="46" t="n"/>
      <c r="I18" s="47" t="n">
        <v>2500</v>
      </c>
      <c r="J18" s="48" t="inlineStr">
        <is>
          <t>A</t>
        </is>
      </c>
      <c r="K18" s="49" t="n"/>
      <c r="L18" s="20" t="n">
        <v>-0.9149167886192696</v>
      </c>
      <c r="M18" s="20" t="n">
        <v>-0.6289878501174149</v>
      </c>
      <c r="N18" s="20" t="n">
        <v>-0.3499982983357723</v>
      </c>
      <c r="O18" s="20" t="n">
        <v>-0.761767008133955</v>
      </c>
      <c r="P18" s="20" t="n">
        <v>-0.1092468434128577</v>
      </c>
      <c r="Q18" s="50" t="n">
        <v>0</v>
      </c>
    </row>
    <row r="19">
      <c r="A19" s="14" t="inlineStr">
        <is>
          <t>Planejamento para redes sociais</t>
        </is>
      </c>
      <c r="B19" s="45" t="n">
        <v>25754</v>
      </c>
      <c r="C19" s="45" t="n">
        <v>4416</v>
      </c>
      <c r="D19" s="45" t="n">
        <v>1359.4</v>
      </c>
      <c r="E19" s="45" t="n">
        <v>16740</v>
      </c>
      <c r="F19" s="45" t="n">
        <v>18000</v>
      </c>
      <c r="G19" s="45" t="n">
        <v>13400</v>
      </c>
      <c r="H19" s="46" t="n"/>
      <c r="I19" s="47" t="n">
        <v>1359.4</v>
      </c>
      <c r="J19" s="48" t="inlineStr">
        <is>
          <t>B</t>
        </is>
      </c>
      <c r="K19" s="49" t="n"/>
      <c r="L19" s="20" t="n">
        <v>-0.8285314902539411</v>
      </c>
      <c r="M19" s="20" t="n">
        <v>-0.9472159664518133</v>
      </c>
      <c r="N19" s="20" t="n">
        <v>-0.3500038828919779</v>
      </c>
      <c r="O19" s="20" t="n">
        <v>-0.3010794439698687</v>
      </c>
      <c r="P19" s="20" t="n">
        <v>-0.4796924749553467</v>
      </c>
      <c r="Q19" s="50" t="n">
        <v>10</v>
      </c>
    </row>
    <row r="20">
      <c r="A20" s="14" t="inlineStr">
        <is>
          <t>Diagnóstico da presença digital</t>
        </is>
      </c>
      <c r="B20" s="45" t="n">
        <v>20767</v>
      </c>
      <c r="C20" s="45" t="n">
        <v>367</v>
      </c>
      <c r="D20" s="45" t="n">
        <v>7704.55</v>
      </c>
      <c r="E20" s="45" t="n">
        <v>13499</v>
      </c>
      <c r="F20" s="45" t="n">
        <v>15000</v>
      </c>
      <c r="G20" s="45" t="n">
        <v>19500</v>
      </c>
      <c r="H20" s="46" t="n"/>
      <c r="I20" s="47" t="n">
        <v>367</v>
      </c>
      <c r="J20" s="48" t="inlineStr">
        <is>
          <t>A</t>
        </is>
      </c>
      <c r="K20" s="49" t="n"/>
      <c r="L20" s="20" t="n">
        <v>-0.9823277314970867</v>
      </c>
      <c r="M20" s="20" t="n">
        <v>-0.6290003370732412</v>
      </c>
      <c r="N20" s="20" t="n">
        <v>-0.3499783310059229</v>
      </c>
      <c r="O20" s="20" t="n">
        <v>-0.2777001974286127</v>
      </c>
      <c r="P20" s="20" t="n">
        <v>-0.0610102566571965</v>
      </c>
      <c r="Q20" s="50" t="n">
        <v>1</v>
      </c>
    </row>
    <row r="21">
      <c r="A21" s="14" t="inlineStr">
        <is>
          <t>Análise estratégica de dados</t>
        </is>
      </c>
      <c r="B21" s="45" t="n">
        <v>14692</v>
      </c>
      <c r="C21" s="45" t="n">
        <v>5500</v>
      </c>
      <c r="D21" s="45" t="n">
        <v>5450.55</v>
      </c>
      <c r="E21" s="45" t="n">
        <v>9550</v>
      </c>
      <c r="F21" s="45" t="n">
        <v>11000</v>
      </c>
      <c r="G21" s="45" t="n">
        <v>4200</v>
      </c>
      <c r="H21" s="46" t="n"/>
      <c r="I21" s="47" t="n">
        <v>4200</v>
      </c>
      <c r="J21" s="48" t="inlineStr">
        <is>
          <t>E</t>
        </is>
      </c>
      <c r="K21" s="49" t="n"/>
      <c r="L21" s="20" t="n">
        <v>-0.6256466104002179</v>
      </c>
      <c r="M21" s="20" t="n">
        <v>-0.629012387693983</v>
      </c>
      <c r="N21" s="20" t="n">
        <v>-0.3499863871494691</v>
      </c>
      <c r="O21" s="20" t="n">
        <v>-0.2512932208004356</v>
      </c>
      <c r="P21" s="20" t="n">
        <v>-0.7141301388510755</v>
      </c>
      <c r="Q21" s="50" t="n">
        <v>4</v>
      </c>
    </row>
    <row r="22">
      <c r="A22" s="14" t="inlineStr">
        <is>
          <t>Relatório de campanha</t>
        </is>
      </c>
      <c r="B22" s="45" t="n">
        <v>11455</v>
      </c>
      <c r="C22" s="45" t="n">
        <v>4048</v>
      </c>
      <c r="D22" s="45" t="n">
        <v>4250.05</v>
      </c>
      <c r="E22" s="45" t="n">
        <v>7446</v>
      </c>
      <c r="F22" s="45" t="n">
        <v>8000</v>
      </c>
      <c r="G22" s="45" t="n">
        <v>2800</v>
      </c>
      <c r="H22" s="46" t="n"/>
      <c r="I22" s="47" t="n">
        <v>2800</v>
      </c>
      <c r="J22" s="48" t="inlineStr">
        <is>
          <t>E</t>
        </is>
      </c>
      <c r="K22" s="49" t="n"/>
      <c r="L22" s="20" t="n">
        <v>-0.6466171977302488</v>
      </c>
      <c r="M22" s="20" t="n">
        <v>-0.6289786119598428</v>
      </c>
      <c r="N22" s="20" t="n">
        <v>-0.3499781754692274</v>
      </c>
      <c r="O22" s="20" t="n">
        <v>-0.3016150152771715</v>
      </c>
      <c r="P22" s="20" t="n">
        <v>-0.75556525534701</v>
      </c>
      <c r="Q22" s="50" t="n">
        <v>4</v>
      </c>
    </row>
    <row r="23">
      <c r="A23" s="14" t="inlineStr">
        <is>
          <t>Monitoramento e relatório mensal</t>
        </is>
      </c>
      <c r="B23" s="45" t="n">
        <v>6615</v>
      </c>
      <c r="C23" s="45" t="n">
        <v>4500</v>
      </c>
      <c r="D23" s="45" t="n">
        <v>2454.2</v>
      </c>
      <c r="E23" s="45" t="n">
        <v>4300</v>
      </c>
      <c r="F23" s="45" t="n">
        <v>5000</v>
      </c>
      <c r="G23" s="45" t="n">
        <v>10900</v>
      </c>
      <c r="H23" s="46" t="n"/>
      <c r="I23" s="47" t="n">
        <v>2454.2</v>
      </c>
      <c r="J23" s="48" t="inlineStr">
        <is>
          <t>B</t>
        </is>
      </c>
      <c r="K23" s="49" t="n"/>
      <c r="L23" s="20" t="n">
        <v>-0.3197278911564626</v>
      </c>
      <c r="M23" s="20" t="n">
        <v>-0.628994708994709</v>
      </c>
      <c r="N23" s="20" t="n">
        <v>-0.3499622071050642</v>
      </c>
      <c r="O23" s="20" t="n">
        <v>-0.2441421012849584</v>
      </c>
      <c r="P23" s="20" t="n">
        <v>0.6477702191987906</v>
      </c>
      <c r="Q23" s="50" t="n">
        <v>12</v>
      </c>
    </row>
    <row r="24">
      <c r="A24" s="14" t="inlineStr">
        <is>
          <t>Banner / cartaz / pôster (criação)</t>
        </is>
      </c>
      <c r="B24" s="45" t="n">
        <v>5715</v>
      </c>
      <c r="C24" s="45" t="n">
        <v>1104</v>
      </c>
      <c r="D24" s="45" t="n">
        <v>2120.3</v>
      </c>
      <c r="E24" s="45" t="n">
        <v>3715</v>
      </c>
      <c r="F24" s="45" t="n">
        <v>4000</v>
      </c>
      <c r="G24" s="45" t="n">
        <v>2187</v>
      </c>
      <c r="H24" s="46" t="n"/>
      <c r="I24" s="47" t="n">
        <v>1104</v>
      </c>
      <c r="J24" s="48" t="inlineStr">
        <is>
          <t>A</t>
        </is>
      </c>
      <c r="K24" s="49" t="n"/>
      <c r="L24" s="20" t="n">
        <v>-0.8068241469816273</v>
      </c>
      <c r="M24" s="20" t="n">
        <v>-0.6289938757655293</v>
      </c>
      <c r="N24" s="20" t="n">
        <v>-0.3499562554680665</v>
      </c>
      <c r="O24" s="20" t="n">
        <v>-0.3000874890638671</v>
      </c>
      <c r="P24" s="20" t="n">
        <v>-0.6173228346456693</v>
      </c>
      <c r="Q24" s="50" t="n">
        <v>35</v>
      </c>
    </row>
    <row r="25">
      <c r="A25" s="14" t="inlineStr">
        <is>
          <t>Flyer / volante (criação)</t>
        </is>
      </c>
      <c r="B25" s="45" t="n">
        <v>4572</v>
      </c>
      <c r="C25" s="45" t="n">
        <v>1656</v>
      </c>
      <c r="D25" s="45" t="n">
        <v>1696.1</v>
      </c>
      <c r="E25" s="45" t="n">
        <v>2972</v>
      </c>
      <c r="F25" s="45" t="n">
        <v>3500</v>
      </c>
      <c r="G25" s="45" t="n">
        <v>1700</v>
      </c>
      <c r="H25" s="46" t="n"/>
      <c r="I25" s="47" t="n">
        <v>1656</v>
      </c>
      <c r="J25" s="48" t="inlineStr">
        <is>
          <t>A</t>
        </is>
      </c>
      <c r="K25" s="49" t="n"/>
      <c r="L25" s="20" t="n">
        <v>-0.6377952755905512</v>
      </c>
      <c r="M25" s="20" t="n">
        <v>-0.6290244969378828</v>
      </c>
      <c r="N25" s="20" t="n">
        <v>-0.3499562554680665</v>
      </c>
      <c r="O25" s="20" t="n">
        <v>-0.2344706911636045</v>
      </c>
      <c r="P25" s="20" t="n">
        <v>-0.6281714785651793</v>
      </c>
      <c r="Q25" s="50" t="n">
        <v>13</v>
      </c>
    </row>
    <row r="26">
      <c r="A26" s="14" t="inlineStr">
        <is>
          <t>Folder (criação)</t>
        </is>
      </c>
      <c r="B26" s="45" t="n">
        <v>8868</v>
      </c>
      <c r="C26" s="45" t="n">
        <v>3496</v>
      </c>
      <c r="D26" s="45" t="n">
        <v>3290</v>
      </c>
      <c r="E26" s="45" t="n">
        <v>5764</v>
      </c>
      <c r="F26" s="45" t="n">
        <v>7000</v>
      </c>
      <c r="G26" s="45" t="n">
        <v>3645</v>
      </c>
      <c r="H26" s="46" t="n"/>
      <c r="I26" s="47" t="n">
        <v>3290</v>
      </c>
      <c r="J26" s="48" t="inlineStr">
        <is>
          <t>B</t>
        </is>
      </c>
      <c r="K26" s="49" t="n"/>
      <c r="L26" s="20" t="n">
        <v>-0.6057735678845286</v>
      </c>
      <c r="M26" s="20" t="n">
        <v>-0.6290031574199368</v>
      </c>
      <c r="N26" s="20" t="n">
        <v>-0.350022552999549</v>
      </c>
      <c r="O26" s="20" t="n">
        <v>-0.2106450157870997</v>
      </c>
      <c r="P26" s="20" t="n">
        <v>-0.5889715832205684</v>
      </c>
      <c r="Q26" s="50" t="n">
        <v>15</v>
      </c>
    </row>
    <row r="27">
      <c r="A27" s="14" t="inlineStr">
        <is>
          <t>Mala direta</t>
        </is>
      </c>
      <c r="B27" s="45" t="n">
        <v>7122</v>
      </c>
      <c r="C27" s="45" t="n">
        <v>1840</v>
      </c>
      <c r="D27" s="45" t="n">
        <v>2642.15</v>
      </c>
      <c r="E27" s="45" t="n">
        <v>4629</v>
      </c>
      <c r="F27" s="45" t="n">
        <v>5000</v>
      </c>
      <c r="G27" s="45" t="n">
        <v>6800</v>
      </c>
      <c r="H27" s="46" t="n"/>
      <c r="I27" s="47" t="n">
        <v>1840</v>
      </c>
      <c r="J27" s="48" t="inlineStr">
        <is>
          <t>A</t>
        </is>
      </c>
      <c r="K27" s="49" t="n"/>
      <c r="L27" s="20" t="n">
        <v>-0.7416456051670879</v>
      </c>
      <c r="M27" s="20" t="n">
        <v>-0.6290157259196855</v>
      </c>
      <c r="N27" s="20" t="n">
        <v>-0.3500421229991575</v>
      </c>
      <c r="O27" s="20" t="n">
        <v>-0.2979500140409997</v>
      </c>
      <c r="P27" s="20" t="n">
        <v>-0.04521201909575967</v>
      </c>
      <c r="Q27" s="50" t="n">
        <v>0</v>
      </c>
    </row>
    <row r="28">
      <c r="A28" s="14" t="inlineStr">
        <is>
          <t>Email marketing (imagem)</t>
        </is>
      </c>
      <c r="B28" s="45" t="n">
        <v>3824</v>
      </c>
      <c r="C28" s="45" t="n">
        <v>1104</v>
      </c>
      <c r="D28" s="45" t="n">
        <v>1418.9</v>
      </c>
      <c r="E28" s="45" t="n">
        <v>2486</v>
      </c>
      <c r="F28" s="45" t="n">
        <v>2500</v>
      </c>
      <c r="G28" s="45" t="n">
        <v>2430</v>
      </c>
      <c r="H28" s="46" t="n"/>
      <c r="I28" s="47" t="n">
        <v>1104</v>
      </c>
      <c r="J28" s="48" t="inlineStr">
        <is>
          <t>A</t>
        </is>
      </c>
      <c r="K28" s="49" t="n"/>
      <c r="L28" s="20" t="n">
        <v>-0.7112970711297071</v>
      </c>
      <c r="M28" s="20" t="n">
        <v>-0.6289487447698745</v>
      </c>
      <c r="N28" s="20" t="n">
        <v>-0.3498953974895398</v>
      </c>
      <c r="O28" s="20" t="n">
        <v>-0.3462343096234309</v>
      </c>
      <c r="P28" s="20" t="n">
        <v>-0.3645397489539749</v>
      </c>
      <c r="Q28" s="50" t="n">
        <v>11</v>
      </c>
    </row>
    <row r="29">
      <c r="A29" s="14" t="inlineStr">
        <is>
          <t>Infográfico (JPG / HTML)</t>
        </is>
      </c>
      <c r="B29" s="45" t="n">
        <v>11904</v>
      </c>
      <c r="C29" s="45" t="n">
        <v>4048</v>
      </c>
      <c r="D29" s="45" t="n">
        <v>4416.65</v>
      </c>
      <c r="E29" s="45" t="n">
        <v>7738</v>
      </c>
      <c r="F29" s="45" t="n">
        <v>8000</v>
      </c>
      <c r="G29" s="45" t="n">
        <v>6200</v>
      </c>
      <c r="H29" s="46" t="n"/>
      <c r="I29" s="47" t="n">
        <v>4048</v>
      </c>
      <c r="J29" s="48" t="inlineStr">
        <is>
          <t>A</t>
        </is>
      </c>
      <c r="K29" s="49" t="n"/>
      <c r="L29" s="20" t="n">
        <v>-0.6599462365591398</v>
      </c>
      <c r="M29" s="20" t="n">
        <v>-0.6289776545698925</v>
      </c>
      <c r="N29" s="20" t="n">
        <v>-0.3499663978494624</v>
      </c>
      <c r="O29" s="20" t="n">
        <v>-0.3279569892473119</v>
      </c>
      <c r="P29" s="20" t="n">
        <v>-0.4791666666666666</v>
      </c>
      <c r="Q29" s="50" t="n">
        <v>6</v>
      </c>
    </row>
    <row r="30">
      <c r="A30" s="14" t="inlineStr">
        <is>
          <t>Tabelas / gráficos</t>
        </is>
      </c>
      <c r="B30" s="45" t="n">
        <v>4216</v>
      </c>
      <c r="C30" s="45" t="n">
        <v>1104</v>
      </c>
      <c r="D30" s="45" t="n">
        <v>1564.15</v>
      </c>
      <c r="E30" s="45" t="n">
        <v>826</v>
      </c>
      <c r="F30" s="45" t="n">
        <v>3000</v>
      </c>
      <c r="G30" s="45" t="n">
        <v>1080</v>
      </c>
      <c r="H30" s="46" t="n"/>
      <c r="I30" s="47" t="n">
        <v>826</v>
      </c>
      <c r="J30" s="48" t="inlineStr">
        <is>
          <t>C</t>
        </is>
      </c>
      <c r="K30" s="49" t="n"/>
      <c r="L30" s="20" t="n">
        <v>-0.7381404174573055</v>
      </c>
      <c r="M30" s="20" t="n">
        <v>-0.628996679316888</v>
      </c>
      <c r="N30" s="20" t="n">
        <v>-0.8040796963946869</v>
      </c>
      <c r="O30" s="20" t="n">
        <v>-0.2884250474383302</v>
      </c>
      <c r="P30" s="20" t="n">
        <v>-0.7438330170777989</v>
      </c>
      <c r="Q30" s="50" t="n">
        <v>0</v>
      </c>
    </row>
    <row r="31">
      <c r="A31" s="14" t="inlineStr">
        <is>
          <t>Apresentação multimídia (projeto gráfico)</t>
        </is>
      </c>
      <c r="B31" s="45" t="n">
        <v>25684</v>
      </c>
      <c r="C31" s="45" t="n">
        <v>1656</v>
      </c>
      <c r="D31" s="45" t="n">
        <v>9528.75</v>
      </c>
      <c r="E31" s="45" t="n">
        <v>16695</v>
      </c>
      <c r="F31" s="45" t="n">
        <v>18000</v>
      </c>
      <c r="G31" s="45" t="n">
        <v>18900</v>
      </c>
      <c r="H31" s="46" t="n"/>
      <c r="I31" s="47" t="n">
        <v>1656</v>
      </c>
      <c r="J31" s="48" t="inlineStr">
        <is>
          <t>A</t>
        </is>
      </c>
      <c r="K31" s="49" t="n"/>
      <c r="L31" s="20" t="n">
        <v>-0.9355240616726367</v>
      </c>
      <c r="M31" s="20" t="n">
        <v>-0.6290005450864351</v>
      </c>
      <c r="N31" s="20" t="n">
        <v>-0.3499844261018533</v>
      </c>
      <c r="O31" s="20" t="n">
        <v>-0.2991745833982246</v>
      </c>
      <c r="P31" s="20" t="n">
        <v>-0.2641333125681358</v>
      </c>
      <c r="Q31" s="50" t="n">
        <v>3</v>
      </c>
    </row>
    <row r="32">
      <c r="A32" s="14" t="inlineStr">
        <is>
          <t>Apresentação multimídia (slide adicional)</t>
        </is>
      </c>
      <c r="B32" s="45" t="n">
        <v>5137</v>
      </c>
      <c r="C32" s="45" t="n">
        <v>368</v>
      </c>
      <c r="D32" s="45" t="n">
        <v>1905.75</v>
      </c>
      <c r="E32" s="45" t="n">
        <v>3339</v>
      </c>
      <c r="F32" s="45" t="n">
        <v>3500</v>
      </c>
      <c r="G32" s="45" t="n">
        <v>880</v>
      </c>
      <c r="H32" s="46" t="n"/>
      <c r="I32" s="47" t="n">
        <v>368</v>
      </c>
      <c r="J32" s="48" t="inlineStr">
        <is>
          <t>A</t>
        </is>
      </c>
      <c r="K32" s="49" t="n"/>
      <c r="L32" s="20" t="n">
        <v>-0.9283628576990461</v>
      </c>
      <c r="M32" s="20" t="n">
        <v>-0.6290149892933619</v>
      </c>
      <c r="N32" s="20" t="n">
        <v>-0.3500097333073778</v>
      </c>
      <c r="O32" s="20" t="n">
        <v>-0.3186684835507105</v>
      </c>
      <c r="P32" s="20" t="n">
        <v>-0.828693790149893</v>
      </c>
      <c r="Q32" s="50" t="n">
        <v>0</v>
      </c>
    </row>
    <row r="33">
      <c r="A33" s="14" t="inlineStr">
        <is>
          <t>Landing page</t>
        </is>
      </c>
      <c r="B33" s="45" t="n">
        <v>25419</v>
      </c>
      <c r="C33" s="45" t="n">
        <v>8096</v>
      </c>
      <c r="D33" s="45" t="n">
        <v>6565.3</v>
      </c>
      <c r="E33" s="45" t="n">
        <v>11502</v>
      </c>
      <c r="F33" s="45" t="n">
        <v>14000</v>
      </c>
      <c r="G33" s="45" t="n">
        <v>7290</v>
      </c>
      <c r="H33" s="46" t="n"/>
      <c r="I33" s="47" t="n">
        <v>6565.3</v>
      </c>
      <c r="J33" s="48" t="inlineStr">
        <is>
          <t>B</t>
        </is>
      </c>
      <c r="K33" s="49" t="n"/>
      <c r="L33" s="20" t="n">
        <v>-0.6814980919784412</v>
      </c>
      <c r="M33" s="20" t="n">
        <v>-0.741716825996302</v>
      </c>
      <c r="N33" s="20" t="n">
        <v>-0.5475038357134427</v>
      </c>
      <c r="O33" s="20" t="n">
        <v>-0.4492308902789253</v>
      </c>
      <c r="P33" s="20" t="n">
        <v>-0.7132066564380974</v>
      </c>
      <c r="Q33" s="50" t="n">
        <v>3</v>
      </c>
    </row>
    <row r="34">
      <c r="A34" s="14" t="inlineStr">
        <is>
          <t>Hotsite (baixa complexidade)</t>
        </is>
      </c>
      <c r="B34" s="45" t="n">
        <v>17696</v>
      </c>
      <c r="C34" s="45" t="n">
        <v>3312</v>
      </c>
      <c r="D34" s="45" t="n">
        <v>9430.4</v>
      </c>
      <c r="E34" s="45" t="n">
        <v>16522</v>
      </c>
      <c r="F34" s="45" t="n">
        <v>20000</v>
      </c>
      <c r="G34" s="45" t="n">
        <v>12150</v>
      </c>
      <c r="H34" s="46" t="n"/>
      <c r="I34" s="47" t="n">
        <v>3312</v>
      </c>
      <c r="J34" s="48" t="inlineStr">
        <is>
          <t>A</t>
        </is>
      </c>
      <c r="K34" s="49" t="n"/>
      <c r="L34" s="20" t="n">
        <v>-0.8128390596745028</v>
      </c>
      <c r="M34" s="20" t="n">
        <v>-0.4670886075949368</v>
      </c>
      <c r="N34" s="20" t="n">
        <v>-0.06634267631103075</v>
      </c>
      <c r="O34" s="20" t="n">
        <v>0.1301989150090417</v>
      </c>
      <c r="P34" s="20" t="n">
        <v>-0.3134041591320073</v>
      </c>
      <c r="Q34" s="50" t="n">
        <v>0</v>
      </c>
    </row>
    <row r="35">
      <c r="A35" s="14" t="inlineStr">
        <is>
          <t>Hotsite (média complexidade)</t>
        </is>
      </c>
      <c r="B35" s="45" t="n">
        <v>40957</v>
      </c>
      <c r="C35" s="45" t="n">
        <v>10672</v>
      </c>
      <c r="D35" s="45" t="n">
        <v>15195.25</v>
      </c>
      <c r="E35" s="45" t="n">
        <v>26622</v>
      </c>
      <c r="F35" s="45" t="n">
        <v>30000</v>
      </c>
      <c r="G35" s="45" t="n">
        <v>24300</v>
      </c>
      <c r="H35" s="46" t="n"/>
      <c r="I35" s="47" t="n">
        <v>10672</v>
      </c>
      <c r="J35" s="48" t="inlineStr">
        <is>
          <t>A</t>
        </is>
      </c>
      <c r="K35" s="49" t="n"/>
      <c r="L35" s="20" t="n">
        <v>-0.739434040579144</v>
      </c>
      <c r="M35" s="20" t="n">
        <v>-0.6289950435822936</v>
      </c>
      <c r="N35" s="20" t="n">
        <v>-0.3500012207925385</v>
      </c>
      <c r="O35" s="20" t="n">
        <v>-0.2675244768903973</v>
      </c>
      <c r="P35" s="20" t="n">
        <v>-0.4066948262812218</v>
      </c>
      <c r="Q35" s="50" t="n">
        <v>0</v>
      </c>
    </row>
    <row r="36">
      <c r="A36" s="14" t="inlineStr">
        <is>
          <t>Roteiro para vídeo até 60”</t>
        </is>
      </c>
      <c r="B36" s="45" t="n">
        <v>19364</v>
      </c>
      <c r="C36" s="45" t="n">
        <v>552</v>
      </c>
      <c r="D36" s="45" t="n">
        <v>7184.1</v>
      </c>
      <c r="E36" s="45" t="n">
        <v>12587</v>
      </c>
      <c r="F36" s="45" t="n">
        <v>9000</v>
      </c>
      <c r="G36" s="45" t="n">
        <v>7800</v>
      </c>
      <c r="H36" s="46" t="n"/>
      <c r="I36" s="47" t="n">
        <v>552</v>
      </c>
      <c r="J36" s="48" t="inlineStr">
        <is>
          <t>A</t>
        </is>
      </c>
      <c r="K36" s="49" t="n"/>
      <c r="L36" s="20" t="n">
        <v>-0.9714934930799421</v>
      </c>
      <c r="M36" s="20" t="n">
        <v>-0.6289971080355299</v>
      </c>
      <c r="N36" s="20" t="n">
        <v>-0.3499793431109275</v>
      </c>
      <c r="O36" s="20" t="n">
        <v>-0.5352199958686221</v>
      </c>
      <c r="P36" s="20" t="n">
        <v>-0.5971906630861392</v>
      </c>
      <c r="Q36" s="50" t="n">
        <v>1</v>
      </c>
    </row>
    <row r="37">
      <c r="A37" s="14" t="inlineStr">
        <is>
          <t>Roteiro para vídeo acima de 60”</t>
        </is>
      </c>
      <c r="B37" s="45" t="n">
        <v>29043</v>
      </c>
      <c r="C37" s="45" t="n">
        <v>1472</v>
      </c>
      <c r="D37" s="45" t="n">
        <v>10774.75</v>
      </c>
      <c r="E37" s="45" t="n">
        <v>18878</v>
      </c>
      <c r="F37" s="45" t="n">
        <v>18000</v>
      </c>
      <c r="G37" s="45" t="n">
        <v>11000</v>
      </c>
      <c r="H37" s="46" t="n"/>
      <c r="I37" s="47" t="n">
        <v>1472</v>
      </c>
      <c r="J37" s="48" t="inlineStr">
        <is>
          <t>A</t>
        </is>
      </c>
      <c r="K37" s="49" t="n"/>
      <c r="L37" s="20" t="n">
        <v>-0.9493165306614331</v>
      </c>
      <c r="M37" s="20" t="n">
        <v>-0.6290069896360568</v>
      </c>
      <c r="N37" s="20" t="n">
        <v>-0.3499982784147643</v>
      </c>
      <c r="O37" s="20" t="n">
        <v>-0.3802293151533932</v>
      </c>
      <c r="P37" s="20" t="n">
        <v>-0.6212512481492959</v>
      </c>
      <c r="Q37" s="50" t="n">
        <v>0</v>
      </c>
    </row>
    <row r="38">
      <c r="A38" s="14" t="inlineStr">
        <is>
          <t>Vídeo institucional até 5 minutos</t>
        </is>
      </c>
      <c r="B38" s="45" t="n">
        <v>29102</v>
      </c>
      <c r="C38" s="45" t="n">
        <v>9568</v>
      </c>
      <c r="D38" s="45" t="n">
        <v>10796.8</v>
      </c>
      <c r="E38" s="45" t="n">
        <v>18916</v>
      </c>
      <c r="F38" s="45" t="n">
        <v>24000</v>
      </c>
      <c r="G38" s="45" t="n">
        <v>60000</v>
      </c>
      <c r="H38" s="46" t="n"/>
      <c r="I38" s="47" t="n">
        <v>9568</v>
      </c>
      <c r="J38" s="48" t="inlineStr">
        <is>
          <t>A</t>
        </is>
      </c>
      <c r="K38" s="49" t="n"/>
      <c r="L38" s="20" t="n">
        <v>-0.6712253453370902</v>
      </c>
      <c r="M38" s="20" t="n">
        <v>-0.6290014431997801</v>
      </c>
      <c r="N38" s="20" t="n">
        <v>-0.3500103085698577</v>
      </c>
      <c r="O38" s="20" t="n">
        <v>-0.1753144113806612</v>
      </c>
      <c r="P38" s="20" t="n">
        <v>1.061713971548347</v>
      </c>
      <c r="Q38" s="50" t="n">
        <v>12</v>
      </c>
    </row>
    <row r="39">
      <c r="A39" s="14" t="inlineStr">
        <is>
          <t>Filme / VT até 60”</t>
        </is>
      </c>
      <c r="B39" s="45" t="n">
        <v>19364</v>
      </c>
      <c r="C39" s="45" t="n">
        <v>2024</v>
      </c>
      <c r="D39" s="45" t="n">
        <v>7184.1</v>
      </c>
      <c r="E39" s="45" t="n">
        <v>12587</v>
      </c>
      <c r="F39" s="45" t="n">
        <v>16000</v>
      </c>
      <c r="G39" s="45" t="n">
        <v>12800</v>
      </c>
      <c r="H39" s="46" t="n"/>
      <c r="I39" s="47" t="n">
        <v>2024</v>
      </c>
      <c r="J39" s="48" t="inlineStr">
        <is>
          <t>A</t>
        </is>
      </c>
      <c r="K39" s="49" t="n"/>
      <c r="L39" s="20" t="n">
        <v>-0.8954761412931213</v>
      </c>
      <c r="M39" s="20" t="n">
        <v>-0.6289971080355299</v>
      </c>
      <c r="N39" s="20" t="n">
        <v>-0.3499793431109275</v>
      </c>
      <c r="O39" s="20" t="n">
        <v>-0.1737244370997728</v>
      </c>
      <c r="P39" s="20" t="n">
        <v>-0.3389795496798182</v>
      </c>
      <c r="Q39" s="50" t="n">
        <v>0</v>
      </c>
    </row>
    <row r="40">
      <c r="A40" s="14" t="inlineStr">
        <is>
          <t>Filme / VT acima de 60”</t>
        </is>
      </c>
      <c r="B40" s="45" t="n">
        <v>29043</v>
      </c>
      <c r="C40" s="45" t="n">
        <v>4784</v>
      </c>
      <c r="D40" s="45" t="n">
        <v>10774.75</v>
      </c>
      <c r="E40" s="45" t="n">
        <v>18878</v>
      </c>
      <c r="F40" s="45" t="n">
        <v>24000</v>
      </c>
      <c r="G40" s="45" t="n">
        <v>14000</v>
      </c>
      <c r="H40" s="46" t="n"/>
      <c r="I40" s="47" t="n">
        <v>4784</v>
      </c>
      <c r="J40" s="48" t="inlineStr">
        <is>
          <t>A</t>
        </is>
      </c>
      <c r="K40" s="49" t="n"/>
      <c r="L40" s="20" t="n">
        <v>-0.8352787246496574</v>
      </c>
      <c r="M40" s="20" t="n">
        <v>-0.6290069896360568</v>
      </c>
      <c r="N40" s="20" t="n">
        <v>-0.3499982784147643</v>
      </c>
      <c r="O40" s="20" t="n">
        <v>-0.173639086871191</v>
      </c>
      <c r="P40" s="20" t="n">
        <v>-0.5179561340081947</v>
      </c>
      <c r="Q40" s="50" t="n">
        <v>0</v>
      </c>
    </row>
    <row r="41">
      <c r="A41" s="14" t="inlineStr">
        <is>
          <t>Vinheta eletrônica</t>
        </is>
      </c>
      <c r="B41" s="45" t="n">
        <v>12093</v>
      </c>
      <c r="C41" s="45" t="n">
        <v>2024</v>
      </c>
      <c r="D41" s="45" t="n">
        <v>4486.3</v>
      </c>
      <c r="E41" s="45" t="n">
        <v>8463</v>
      </c>
      <c r="F41" s="45" t="n">
        <v>11000</v>
      </c>
      <c r="G41" s="45" t="n">
        <v>7800</v>
      </c>
      <c r="H41" s="46" t="n"/>
      <c r="I41" s="47" t="n">
        <v>2024</v>
      </c>
      <c r="J41" s="48" t="inlineStr">
        <is>
          <t>A</t>
        </is>
      </c>
      <c r="K41" s="49" t="n"/>
      <c r="L41" s="20" t="n">
        <v>-0.8326304473662449</v>
      </c>
      <c r="M41" s="20" t="n">
        <v>-0.6290167865707434</v>
      </c>
      <c r="N41" s="20" t="n">
        <v>-0.3001736541801042</v>
      </c>
      <c r="O41" s="20" t="n">
        <v>-0.09038286612089641</v>
      </c>
      <c r="P41" s="20" t="n">
        <v>-0.3549987596129992</v>
      </c>
      <c r="Q41" s="50" t="n">
        <v>4</v>
      </c>
    </row>
    <row r="42">
      <c r="A42" s="14" t="inlineStr">
        <is>
          <t>Banner animado / vídeo digital</t>
        </is>
      </c>
      <c r="B42" s="45" t="n">
        <v>5678</v>
      </c>
      <c r="C42" s="45" t="n">
        <v>1288</v>
      </c>
      <c r="D42" s="45" t="n">
        <v>2106.3</v>
      </c>
      <c r="E42" s="45" t="n">
        <v>3691</v>
      </c>
      <c r="F42" s="45" t="n">
        <v>4500</v>
      </c>
      <c r="G42" s="45" t="n">
        <v>4860</v>
      </c>
      <c r="H42" s="46" t="n"/>
      <c r="I42" s="47" t="n">
        <v>1288</v>
      </c>
      <c r="J42" s="48" t="inlineStr">
        <is>
          <t>A</t>
        </is>
      </c>
      <c r="K42" s="49" t="n"/>
      <c r="L42" s="20" t="n">
        <v>-0.7731595632264883</v>
      </c>
      <c r="M42" s="20" t="n">
        <v>-0.6290419161676646</v>
      </c>
      <c r="N42" s="20" t="n">
        <v>-0.3499471644945403</v>
      </c>
      <c r="O42" s="20" t="n">
        <v>-0.2074674181049665</v>
      </c>
      <c r="P42" s="20" t="n">
        <v>-0.1440648115533638</v>
      </c>
      <c r="Q42" s="50" t="n">
        <v>2</v>
      </c>
    </row>
    <row r="43">
      <c r="A43" s="14" t="inlineStr">
        <is>
          <t>Motion design (peças digitais)</t>
        </is>
      </c>
      <c r="B43" s="45" t="n">
        <v>13020</v>
      </c>
      <c r="C43" s="45" t="n">
        <v>2208</v>
      </c>
      <c r="D43" s="45" t="n">
        <v>4830.7</v>
      </c>
      <c r="E43" s="45" t="n">
        <v>8463</v>
      </c>
      <c r="F43" s="45" t="n">
        <v>1000</v>
      </c>
      <c r="G43" s="45" t="n">
        <v>5400</v>
      </c>
      <c r="H43" s="46" t="n"/>
      <c r="I43" s="47" t="n">
        <v>1000</v>
      </c>
      <c r="J43" s="48" t="inlineStr">
        <is>
          <t>D</t>
        </is>
      </c>
      <c r="K43" s="49" t="n"/>
      <c r="L43" s="20" t="n">
        <v>-0.8304147465437788</v>
      </c>
      <c r="M43" s="20" t="n">
        <v>-0.6289784946236558</v>
      </c>
      <c r="N43" s="20" t="n">
        <v>-0.35</v>
      </c>
      <c r="O43" s="20" t="n">
        <v>-0.9231950844854071</v>
      </c>
      <c r="P43" s="20" t="n">
        <v>-0.5852534562211982</v>
      </c>
      <c r="Q43" s="50" t="n">
        <v>0</v>
      </c>
    </row>
    <row r="44">
      <c r="A44" s="14" t="inlineStr">
        <is>
          <t>Projeto de branding</t>
        </is>
      </c>
      <c r="B44" s="45" t="n">
        <v>117535</v>
      </c>
      <c r="C44" s="45" t="n">
        <v>18000</v>
      </c>
      <c r="D44" s="45" t="n">
        <v>43605.45</v>
      </c>
      <c r="E44" s="45" t="n">
        <v>76398</v>
      </c>
      <c r="F44" s="45" t="n">
        <v>85000</v>
      </c>
      <c r="G44" s="45" t="n">
        <v>65000</v>
      </c>
      <c r="H44" s="46" t="n"/>
      <c r="I44" s="47" t="n">
        <v>18000</v>
      </c>
      <c r="J44" s="48" t="inlineStr">
        <is>
          <t>A</t>
        </is>
      </c>
      <c r="K44" s="49" t="n"/>
      <c r="L44" s="20" t="n">
        <v>-0.846854128557451</v>
      </c>
      <c r="M44" s="20" t="n">
        <v>-0.6290002977836389</v>
      </c>
      <c r="N44" s="20" t="n">
        <v>-0.3499978729740078</v>
      </c>
      <c r="O44" s="20" t="n">
        <v>-0.2768111626324073</v>
      </c>
      <c r="P44" s="20" t="n">
        <v>-0.4469732420130174</v>
      </c>
      <c r="Q44" s="50" t="n">
        <v>1</v>
      </c>
    </row>
    <row r="45">
      <c r="A45" s="14" t="inlineStr">
        <is>
          <t>Marca / logotipo</t>
        </is>
      </c>
      <c r="B45" s="45" t="n">
        <v>22729</v>
      </c>
      <c r="C45" s="45" t="n">
        <v>3864</v>
      </c>
      <c r="D45" s="45" t="n">
        <v>8432.549999999999</v>
      </c>
      <c r="E45" s="45" t="n">
        <v>14774</v>
      </c>
      <c r="F45" s="45" t="n">
        <v>15000</v>
      </c>
      <c r="G45" s="45" t="n">
        <v>18000</v>
      </c>
      <c r="H45" s="46" t="n"/>
      <c r="I45" s="47" t="n">
        <v>3864</v>
      </c>
      <c r="J45" s="48" t="inlineStr">
        <is>
          <t>A</t>
        </is>
      </c>
      <c r="K45" s="49" t="n"/>
      <c r="L45" s="20" t="n">
        <v>-0.8299969202340622</v>
      </c>
      <c r="M45" s="20" t="n">
        <v>-0.6289959963042808</v>
      </c>
      <c r="N45" s="20" t="n">
        <v>-0.3499934005015619</v>
      </c>
      <c r="O45" s="20" t="n">
        <v>-0.3400501561881297</v>
      </c>
      <c r="P45" s="20" t="n">
        <v>-0.2080601874257556</v>
      </c>
      <c r="Q45" s="50" t="n">
        <v>5</v>
      </c>
    </row>
    <row r="46">
      <c r="A46" s="14" t="inlineStr">
        <is>
          <t>Nome de marca</t>
        </is>
      </c>
      <c r="B46" s="45" t="n">
        <v>27699</v>
      </c>
      <c r="C46" s="45" t="n">
        <v>1104</v>
      </c>
      <c r="D46" s="45" t="n">
        <v>10276.35</v>
      </c>
      <c r="E46" s="45" t="n">
        <v>18004</v>
      </c>
      <c r="F46" s="45" t="n">
        <v>20000</v>
      </c>
      <c r="G46" s="45" t="n">
        <v>22000</v>
      </c>
      <c r="H46" s="46" t="n"/>
      <c r="I46" s="47" t="n">
        <v>1104</v>
      </c>
      <c r="J46" s="48" t="inlineStr">
        <is>
          <t>A</t>
        </is>
      </c>
      <c r="K46" s="49" t="n"/>
      <c r="L46" s="20" t="n">
        <v>-0.9601429654500162</v>
      </c>
      <c r="M46" s="20" t="n">
        <v>-0.6289992418498862</v>
      </c>
      <c r="N46" s="20" t="n">
        <v>-0.3500126358352287</v>
      </c>
      <c r="O46" s="20" t="n">
        <v>-0.2779522726452218</v>
      </c>
      <c r="P46" s="20" t="n">
        <v>-0.2057474999097441</v>
      </c>
      <c r="Q46" s="50" t="n">
        <v>0</v>
      </c>
    </row>
    <row r="47">
      <c r="A47" s="14" t="inlineStr">
        <is>
          <t>Manual de identidade visual (por lâmina)</t>
        </is>
      </c>
      <c r="B47" s="45" t="n">
        <v>2598</v>
      </c>
      <c r="C47" s="45" t="n">
        <v>1067.2</v>
      </c>
      <c r="D47" s="45" t="n">
        <v>963.9</v>
      </c>
      <c r="E47" s="45" t="n">
        <v>1689</v>
      </c>
      <c r="F47" s="45" t="n">
        <v>2000</v>
      </c>
      <c r="G47" s="45" t="n">
        <v>1800</v>
      </c>
      <c r="H47" s="46" t="n"/>
      <c r="I47" s="47" t="n">
        <v>963.9</v>
      </c>
      <c r="J47" s="48" t="inlineStr">
        <is>
          <t>B</t>
        </is>
      </c>
      <c r="K47" s="49" t="n"/>
      <c r="L47" s="20" t="n">
        <v>-0.5892224788298691</v>
      </c>
      <c r="M47" s="20" t="n">
        <v>-0.6289838337182447</v>
      </c>
      <c r="N47" s="20" t="n">
        <v>-0.3498845265588915</v>
      </c>
      <c r="O47" s="20" t="n">
        <v>-0.2301770592763664</v>
      </c>
      <c r="P47" s="20" t="n">
        <v>-0.3071593533487298</v>
      </c>
      <c r="Q47" s="50" t="n">
        <v>0</v>
      </c>
    </row>
    <row r="48">
      <c r="A48" s="14" t="inlineStr">
        <is>
          <t>Programação visual de estande (conceito)</t>
        </is>
      </c>
      <c r="B48" s="45" t="n">
        <v>18296</v>
      </c>
      <c r="C48" s="45" t="n">
        <v>8500</v>
      </c>
      <c r="D48" s="45" t="n">
        <v>6787.9</v>
      </c>
      <c r="E48" s="45" t="n">
        <v>11892</v>
      </c>
      <c r="F48" s="45" t="n">
        <v>15000</v>
      </c>
      <c r="G48" s="45" t="n">
        <v>14700</v>
      </c>
      <c r="H48" s="46" t="n"/>
      <c r="I48" s="47" t="n">
        <v>6787.9</v>
      </c>
      <c r="J48" s="48" t="inlineStr">
        <is>
          <t>B</t>
        </is>
      </c>
      <c r="K48" s="49" t="n"/>
      <c r="L48" s="20" t="n">
        <v>-0.5354175776125929</v>
      </c>
      <c r="M48" s="20" t="n">
        <v>-0.6289954088325318</v>
      </c>
      <c r="N48" s="20" t="n">
        <v>-0.35002186270223</v>
      </c>
      <c r="O48" s="20" t="n">
        <v>-0.180148666375164</v>
      </c>
      <c r="P48" s="20" t="n">
        <v>-0.1965456930476607</v>
      </c>
      <c r="Q48" s="50" t="n">
        <v>0</v>
      </c>
    </row>
    <row r="49">
      <c r="A49" s="14" t="inlineStr">
        <is>
          <t>Projeto de sinalização (conceito)</t>
        </is>
      </c>
      <c r="B49" s="45" t="n">
        <v>7858</v>
      </c>
      <c r="C49" s="45" t="n">
        <v>7500</v>
      </c>
      <c r="D49" s="45" t="n">
        <v>4239.2</v>
      </c>
      <c r="E49" s="45" t="n">
        <v>6035</v>
      </c>
      <c r="F49" s="45" t="n">
        <v>7000</v>
      </c>
      <c r="G49" s="45" t="n">
        <v>8800</v>
      </c>
      <c r="H49" s="46" t="n"/>
      <c r="I49" s="47" t="n">
        <v>4239.2</v>
      </c>
      <c r="J49" s="48" t="inlineStr">
        <is>
          <t>B</t>
        </is>
      </c>
      <c r="K49" s="49" t="n"/>
      <c r="L49" s="20" t="n">
        <v>-0.04555866632730976</v>
      </c>
      <c r="M49" s="20" t="n">
        <v>-0.4605243064392975</v>
      </c>
      <c r="N49" s="20" t="n">
        <v>-0.2319928735047085</v>
      </c>
      <c r="O49" s="20" t="n">
        <v>-0.1091880885721558</v>
      </c>
      <c r="P49" s="20" t="n">
        <v>0.1198778315092899</v>
      </c>
      <c r="Q49" s="50" t="n">
        <v>6</v>
      </c>
    </row>
    <row r="50">
      <c r="A50" s="14" t="inlineStr">
        <is>
          <t>Outdoor / mídia exterior (criação)</t>
        </is>
      </c>
      <c r="B50" s="45" t="n">
        <v>7030</v>
      </c>
      <c r="C50" s="45" t="n">
        <v>2208</v>
      </c>
      <c r="D50" s="45" t="n">
        <v>2608.2</v>
      </c>
      <c r="E50" s="45" t="n">
        <v>4570</v>
      </c>
      <c r="F50" s="45" t="n">
        <v>5500</v>
      </c>
      <c r="G50" s="45" t="n">
        <v>3400</v>
      </c>
      <c r="H50" s="46" t="n"/>
      <c r="I50" s="47" t="n">
        <v>2208</v>
      </c>
      <c r="J50" s="48" t="inlineStr">
        <is>
          <t>A</t>
        </is>
      </c>
      <c r="K50" s="49" t="n"/>
      <c r="L50" s="20" t="n">
        <v>-0.6859174964438122</v>
      </c>
      <c r="M50" s="20" t="n">
        <v>-0.6289900426742532</v>
      </c>
      <c r="N50" s="20" t="n">
        <v>-0.3499288762446657</v>
      </c>
      <c r="O50" s="20" t="n">
        <v>-0.2176386913229018</v>
      </c>
      <c r="P50" s="20" t="n">
        <v>-0.5163584637268848</v>
      </c>
      <c r="Q50" s="50" t="n">
        <v>3</v>
      </c>
    </row>
    <row r="51">
      <c r="A51" s="14" t="inlineStr">
        <is>
          <t>Consultoria – diretor (hora)</t>
        </is>
      </c>
      <c r="B51" s="45" t="n">
        <v>1556</v>
      </c>
      <c r="C51" s="45" t="n">
        <v>367</v>
      </c>
      <c r="D51" s="45" t="n">
        <v>577.15</v>
      </c>
      <c r="E51" s="45" t="n">
        <v>1011</v>
      </c>
      <c r="F51" s="45" t="n">
        <v>1000</v>
      </c>
      <c r="G51" s="45" t="n">
        <v>523.26</v>
      </c>
      <c r="H51" s="46" t="n"/>
      <c r="I51" s="47" t="n">
        <v>367</v>
      </c>
      <c r="J51" s="48" t="inlineStr">
        <is>
          <t>A</t>
        </is>
      </c>
      <c r="K51" s="49" t="n"/>
      <c r="L51" s="20" t="n">
        <v>-0.7641388174807198</v>
      </c>
      <c r="M51" s="20" t="n">
        <v>-0.6290809768637533</v>
      </c>
      <c r="N51" s="20" t="n">
        <v>-0.3502570694087404</v>
      </c>
      <c r="O51" s="20" t="n">
        <v>-0.3573264781491002</v>
      </c>
      <c r="P51" s="20" t="n">
        <v>-0.6637146529562983</v>
      </c>
      <c r="Q51" s="50" t="n">
        <v>0</v>
      </c>
    </row>
    <row r="52">
      <c r="A52" s="14" t="inlineStr">
        <is>
          <t>Gerente / supervisor (hora)</t>
        </is>
      </c>
      <c r="B52" s="45" t="n">
        <v>1040</v>
      </c>
      <c r="C52" s="45" t="n">
        <v>263</v>
      </c>
      <c r="D52" s="45" t="n">
        <v>385.7</v>
      </c>
      <c r="E52" s="45" t="n">
        <v>676</v>
      </c>
      <c r="F52" s="45" t="n">
        <v>600</v>
      </c>
      <c r="G52" s="45" t="n">
        <v>361.25</v>
      </c>
      <c r="H52" s="46" t="n"/>
      <c r="I52" s="47" t="n">
        <v>263</v>
      </c>
      <c r="J52" s="48" t="inlineStr">
        <is>
          <t>A</t>
        </is>
      </c>
      <c r="K52" s="49" t="n"/>
      <c r="L52" s="20" t="n">
        <v>-0.7471153846153846</v>
      </c>
      <c r="M52" s="20" t="n">
        <v>-0.6291346153846153</v>
      </c>
      <c r="N52" s="20" t="n">
        <v>-0.35</v>
      </c>
      <c r="O52" s="20" t="n">
        <v>-0.4230769230769231</v>
      </c>
      <c r="P52" s="20" t="n">
        <v>-0.6526442307692308</v>
      </c>
      <c r="Q52" s="50" t="n">
        <v>0</v>
      </c>
    </row>
    <row r="53">
      <c r="A53" s="14" t="inlineStr">
        <is>
          <t>Analista / assistente (hora)</t>
        </is>
      </c>
      <c r="B53" s="45" t="n">
        <v>727</v>
      </c>
      <c r="C53" s="45" t="n">
        <v>127</v>
      </c>
      <c r="D53" s="45" t="n">
        <v>269.5</v>
      </c>
      <c r="E53" s="45" t="n">
        <v>473</v>
      </c>
      <c r="F53" s="45" t="n">
        <v>300</v>
      </c>
      <c r="G53" s="45" t="n">
        <v>201.42</v>
      </c>
      <c r="H53" s="46" t="n"/>
      <c r="I53" s="47" t="n">
        <v>127</v>
      </c>
      <c r="J53" s="48" t="inlineStr">
        <is>
          <t>A</t>
        </is>
      </c>
      <c r="K53" s="49" t="n"/>
      <c r="L53" s="20" t="n">
        <v>-0.8253094910591472</v>
      </c>
      <c r="M53" s="20" t="n">
        <v>-0.6292984869325997</v>
      </c>
      <c r="N53" s="20" t="n">
        <v>-0.3493810178817056</v>
      </c>
      <c r="O53" s="20" t="n">
        <v>-0.5873452544704264</v>
      </c>
      <c r="P53" s="20" t="n">
        <v>-0.7229436038514443</v>
      </c>
      <c r="Q53" s="50" t="n">
        <v>0</v>
      </c>
    </row>
    <row r="54">
      <c r="A54" s="14" t="inlineStr">
        <is>
          <t>Pesquisa em banco de imagem / vídeo</t>
        </is>
      </c>
      <c r="B54" s="45" t="n">
        <v>779</v>
      </c>
      <c r="C54" s="45" t="n">
        <v>460</v>
      </c>
      <c r="D54" s="45" t="n">
        <v>288.75</v>
      </c>
      <c r="E54" s="45" t="n">
        <v>506</v>
      </c>
      <c r="F54" s="45" t="n">
        <v>600</v>
      </c>
      <c r="G54" s="45" t="n">
        <v>650</v>
      </c>
      <c r="H54" s="46" t="n"/>
      <c r="I54" s="47" t="n">
        <v>288.75</v>
      </c>
      <c r="J54" s="48" t="inlineStr">
        <is>
          <t>B</t>
        </is>
      </c>
      <c r="K54" s="49" t="n"/>
      <c r="L54" s="20" t="n">
        <v>-0.4094993581514762</v>
      </c>
      <c r="M54" s="20" t="n">
        <v>-0.6293324775353017</v>
      </c>
      <c r="N54" s="20" t="n">
        <v>-0.3504492939666238</v>
      </c>
      <c r="O54" s="20" t="n">
        <v>-0.2297817715019256</v>
      </c>
      <c r="P54" s="20" t="n">
        <v>-0.165596919127086</v>
      </c>
      <c r="Q54" s="50" t="n">
        <v>0</v>
      </c>
    </row>
    <row r="55">
      <c r="A55" s="14" t="inlineStr">
        <is>
          <t>Fee mensal</t>
        </is>
      </c>
      <c r="B55" s="45" t="n">
        <v>28000</v>
      </c>
      <c r="C55" s="45" t="n">
        <v>76171</v>
      </c>
      <c r="D55" s="45" t="n">
        <v>42000</v>
      </c>
      <c r="E55" s="45" t="n">
        <v>59500</v>
      </c>
      <c r="F55" s="45" t="n">
        <v>80000</v>
      </c>
      <c r="G55" s="45" t="n">
        <v>89568</v>
      </c>
      <c r="H55" s="46" t="n"/>
      <c r="I55" s="47" t="n">
        <v>42000</v>
      </c>
      <c r="J55" s="48" t="inlineStr">
        <is>
          <t>B</t>
        </is>
      </c>
      <c r="K55" s="49" t="n"/>
      <c r="L55" s="45" t="n">
        <v>76171</v>
      </c>
      <c r="M55" s="45" t="n">
        <v>42000</v>
      </c>
      <c r="N55" s="45" t="n">
        <v>59500</v>
      </c>
      <c r="O55" s="45" t="n">
        <v>80000</v>
      </c>
      <c r="P55" s="45" t="n">
        <v>89568</v>
      </c>
      <c r="Q55" s="50" t="n">
        <v>12</v>
      </c>
    </row>
    <row r="56">
      <c r="A56" s="22" t="inlineStr">
        <is>
          <t>TOTAL</t>
        </is>
      </c>
      <c r="B56" s="52" t="n">
        <v>1085326</v>
      </c>
      <c r="C56" s="52" t="n">
        <v>290086.2</v>
      </c>
      <c r="D56" s="52" t="n">
        <v>368854.15</v>
      </c>
      <c r="E56" s="52" t="n">
        <v>640381</v>
      </c>
      <c r="F56" s="52" t="n">
        <v>698000</v>
      </c>
      <c r="G56" s="52" t="n">
        <v>723125.6</v>
      </c>
      <c r="H56" s="52" t="n"/>
      <c r="I56" s="53" t="n">
        <v>203787.85</v>
      </c>
      <c r="J56" s="54" t="n"/>
      <c r="K56" s="54" t="n"/>
      <c r="L56" s="52" t="n">
        <v>76131.5999467654</v>
      </c>
      <c r="M56" s="52" t="n">
        <v>41968.74153339802</v>
      </c>
      <c r="N56" s="52" t="n">
        <v>59479.78852673498</v>
      </c>
      <c r="O56" s="52" t="n">
        <v>79986.43752000169</v>
      </c>
      <c r="P56" s="52" t="n">
        <v>89547.54502811765</v>
      </c>
    </row>
  </sheetData>
  <conditionalFormatting sqref="L2:P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6"/>
  <sheetViews>
    <sheetView workbookViewId="0">
      <selection activeCell="N25" sqref="N25"/>
    </sheetView>
  </sheetViews>
  <sheetFormatPr baseColWidth="8" defaultRowHeight="15"/>
  <cols>
    <col width="11.5703125" customWidth="1" min="2" max="7"/>
    <col width="4.140625" customWidth="1" min="8" max="8"/>
    <col width="12.7109375" bestFit="1" customWidth="1" min="9" max="9"/>
    <col width="12.140625" customWidth="1" min="10" max="10"/>
    <col width="3.85546875" customWidth="1" min="11" max="11"/>
    <col width="10.7109375" customWidth="1" min="12" max="16"/>
    <col width="16" customWidth="1" min="17" max="17"/>
  </cols>
  <sheetData>
    <row r="1" ht="51" customHeight="1">
      <c r="A1" s="41" t="inlineStr">
        <is>
          <t>Serviço</t>
        </is>
      </c>
      <c r="B1" s="41" t="inlineStr">
        <is>
          <t>Preço RC</t>
        </is>
      </c>
      <c r="C1" s="41" t="inlineStr">
        <is>
          <t>A</t>
        </is>
      </c>
      <c r="D1" s="41" t="inlineStr">
        <is>
          <t>B</t>
        </is>
      </c>
      <c r="E1" s="41" t="inlineStr">
        <is>
          <t>C</t>
        </is>
      </c>
      <c r="F1" s="41" t="inlineStr">
        <is>
          <t>D</t>
        </is>
      </c>
      <c r="G1" s="41" t="inlineStr">
        <is>
          <t>E</t>
        </is>
      </c>
      <c r="H1" s="42" t="n"/>
      <c r="I1" s="43" t="inlineStr">
        <is>
          <t>Menor Preço</t>
        </is>
      </c>
      <c r="J1" s="44" t="inlineStr">
        <is>
          <t>Fornecedor Menor Preço</t>
        </is>
      </c>
      <c r="K1" s="42" t="n"/>
      <c r="L1" s="41" t="inlineStr">
        <is>
          <t>A</t>
        </is>
      </c>
      <c r="M1" s="41" t="inlineStr">
        <is>
          <t>B</t>
        </is>
      </c>
      <c r="N1" s="41" t="inlineStr">
        <is>
          <t>C</t>
        </is>
      </c>
      <c r="O1" s="41" t="inlineStr">
        <is>
          <t>D</t>
        </is>
      </c>
      <c r="P1" s="41" t="inlineStr">
        <is>
          <t>E</t>
        </is>
      </c>
      <c r="Q1" s="41" t="inlineStr">
        <is>
          <t>Qtd anual estimada (base 2025)</t>
        </is>
      </c>
    </row>
    <row r="2">
      <c r="A2" s="14" t="inlineStr">
        <is>
          <t>Criação de post / card estático (texto e imagem)</t>
        </is>
      </c>
      <c r="B2" s="26" t="n">
        <v>4364</v>
      </c>
      <c r="C2" s="27" t="n">
        <v>1288</v>
      </c>
      <c r="D2" s="27" t="n">
        <v>1619.1</v>
      </c>
      <c r="E2" s="27" t="n">
        <v>2837</v>
      </c>
      <c r="F2" s="27" t="n">
        <v>3500</v>
      </c>
      <c r="G2" s="27" t="n">
        <v>2462</v>
      </c>
      <c r="H2" s="28" t="n"/>
      <c r="I2" s="29" t="n">
        <v>1288</v>
      </c>
      <c r="J2" s="48" t="inlineStr">
        <is>
          <t>A</t>
        </is>
      </c>
      <c r="K2" s="49" t="n"/>
      <c r="L2" s="20" t="n">
        <v>-0.7048579285059579</v>
      </c>
      <c r="M2" s="20" t="n">
        <v>-0.628987167736022</v>
      </c>
      <c r="N2" s="20" t="n">
        <v>-0.3499083409715857</v>
      </c>
      <c r="O2" s="20" t="n">
        <v>-0.1979835013748854</v>
      </c>
      <c r="P2" s="20" t="n">
        <v>-0.4358386801099908</v>
      </c>
      <c r="Q2" s="55" t="n">
        <v>120</v>
      </c>
    </row>
    <row r="3">
      <c r="A3" s="14" t="inlineStr">
        <is>
          <t>Criação de post / card carrossel / multiproduto</t>
        </is>
      </c>
      <c r="B3" s="26" t="n">
        <v>5866</v>
      </c>
      <c r="C3" s="27" t="n">
        <v>3312</v>
      </c>
      <c r="D3" s="27" t="n">
        <v>2176.3</v>
      </c>
      <c r="E3" s="27" t="n">
        <v>3813</v>
      </c>
      <c r="F3" s="27" t="n">
        <v>4500</v>
      </c>
      <c r="G3" s="27" t="n">
        <v>3162</v>
      </c>
      <c r="H3" s="28" t="n"/>
      <c r="I3" s="29" t="n">
        <v>2176.3</v>
      </c>
      <c r="J3" s="48" t="inlineStr">
        <is>
          <t>B</t>
        </is>
      </c>
      <c r="K3" s="49" t="n"/>
      <c r="L3" s="20" t="n">
        <v>-0.4353903852710536</v>
      </c>
      <c r="M3" s="20" t="n">
        <v>-0.6289976133651551</v>
      </c>
      <c r="N3" s="20" t="n">
        <v>-0.349982952608251</v>
      </c>
      <c r="O3" s="20" t="n">
        <v>-0.2328673712921923</v>
      </c>
      <c r="P3" s="20" t="n">
        <v>-0.4609614728946472</v>
      </c>
      <c r="Q3" s="55" t="n">
        <v>56</v>
      </c>
    </row>
    <row r="4">
      <c r="A4" s="14" t="inlineStr">
        <is>
          <t>Criação de post com animação 2D</t>
        </is>
      </c>
      <c r="B4" s="26" t="n">
        <v>8729</v>
      </c>
      <c r="C4" s="27" t="n">
        <v>4968</v>
      </c>
      <c r="D4" s="27" t="n">
        <v>2590.7</v>
      </c>
      <c r="E4" s="27" t="n">
        <v>5674</v>
      </c>
      <c r="F4" s="27" t="n">
        <v>5500</v>
      </c>
      <c r="G4" s="27" t="n">
        <v>5400</v>
      </c>
      <c r="H4" s="28" t="n"/>
      <c r="I4" s="29" t="n">
        <v>2590.7</v>
      </c>
      <c r="J4" s="48" t="inlineStr">
        <is>
          <t>B</t>
        </is>
      </c>
      <c r="K4" s="49" t="n"/>
      <c r="L4" s="20" t="n">
        <v>-0.4308626417688166</v>
      </c>
      <c r="M4" s="20" t="n">
        <v>-0.7032076984763432</v>
      </c>
      <c r="N4" s="20" t="n">
        <v>-0.3499828159010195</v>
      </c>
      <c r="O4" s="20" t="n">
        <v>-0.3699163707182953</v>
      </c>
      <c r="P4" s="20" t="n">
        <v>-0.3813724367052355</v>
      </c>
      <c r="Q4" s="55" t="n">
        <v>0</v>
      </c>
    </row>
    <row r="5">
      <c r="A5" s="14" t="inlineStr">
        <is>
          <t>Criação de thumbnail para vídeo</t>
        </is>
      </c>
      <c r="B5" s="26" t="n">
        <v>4364</v>
      </c>
      <c r="C5" s="27" t="n">
        <v>1288</v>
      </c>
      <c r="D5" s="27" t="n">
        <v>1619.1</v>
      </c>
      <c r="E5" s="27" t="n">
        <v>2837</v>
      </c>
      <c r="F5" s="27" t="n">
        <v>3500</v>
      </c>
      <c r="G5" s="27" t="n">
        <v>1900</v>
      </c>
      <c r="H5" s="28" t="n"/>
      <c r="I5" s="29" t="n">
        <v>1288</v>
      </c>
      <c r="J5" s="48" t="inlineStr">
        <is>
          <t>A</t>
        </is>
      </c>
      <c r="K5" s="49" t="n"/>
      <c r="L5" s="20" t="n">
        <v>-0.7048579285059579</v>
      </c>
      <c r="M5" s="20" t="n">
        <v>-0.628987167736022</v>
      </c>
      <c r="N5" s="20" t="n">
        <v>-0.3499083409715857</v>
      </c>
      <c r="O5" s="20" t="n">
        <v>-0.1979835013748854</v>
      </c>
      <c r="P5" s="20" t="n">
        <v>-0.5646196150320806</v>
      </c>
      <c r="Q5" s="55" t="n">
        <v>0</v>
      </c>
    </row>
    <row r="6">
      <c r="A6" s="14" t="inlineStr">
        <is>
          <t>Criação de post para blog (texto + imagem)</t>
        </is>
      </c>
      <c r="B6" s="26" t="n">
        <v>6546</v>
      </c>
      <c r="C6" s="27" t="n">
        <v>2392</v>
      </c>
      <c r="D6" s="27" t="n">
        <v>2428.65</v>
      </c>
      <c r="E6" s="27" t="n">
        <v>4255</v>
      </c>
      <c r="F6" s="27" t="n">
        <v>4000</v>
      </c>
      <c r="G6" s="27" t="n">
        <v>4540</v>
      </c>
      <c r="H6" s="28" t="n"/>
      <c r="I6" s="29" t="n">
        <v>2392</v>
      </c>
      <c r="J6" s="48" t="inlineStr">
        <is>
          <t>A</t>
        </is>
      </c>
      <c r="K6" s="49" t="n"/>
      <c r="L6" s="20" t="n">
        <v>-0.6345860067216621</v>
      </c>
      <c r="M6" s="20" t="n">
        <v>-0.6289871677360219</v>
      </c>
      <c r="N6" s="20" t="n">
        <v>-0.3499847234952643</v>
      </c>
      <c r="O6" s="20" t="n">
        <v>-0.3889398105713413</v>
      </c>
      <c r="P6" s="20" t="n">
        <v>-0.3064466849984724</v>
      </c>
      <c r="Q6" s="55" t="n">
        <v>0</v>
      </c>
    </row>
    <row r="7">
      <c r="A7" s="14" t="inlineStr">
        <is>
          <t>Produção de texto livre (1.200 toques)</t>
        </is>
      </c>
      <c r="B7" s="26" t="n">
        <v>844</v>
      </c>
      <c r="C7" s="27" t="n">
        <v>552</v>
      </c>
      <c r="D7" s="27" t="n">
        <v>2920.05</v>
      </c>
      <c r="E7" s="27" t="n">
        <v>549</v>
      </c>
      <c r="F7" s="27" t="n">
        <v>4000</v>
      </c>
      <c r="G7" s="27" t="n">
        <v>562.67</v>
      </c>
      <c r="H7" s="28" t="n"/>
      <c r="I7" s="29" t="n">
        <v>549</v>
      </c>
      <c r="J7" s="48" t="inlineStr">
        <is>
          <t>C</t>
        </is>
      </c>
      <c r="K7" s="49" t="n"/>
      <c r="L7" s="20" t="n">
        <v>-0.3459715639810427</v>
      </c>
      <c r="M7" s="20" t="n">
        <v>2.459774881516588</v>
      </c>
      <c r="N7" s="20" t="n">
        <v>-0.3495260663507109</v>
      </c>
      <c r="O7" s="20" t="n">
        <v>3.739336492890995</v>
      </c>
      <c r="P7" s="20" t="n">
        <v>-0.333329383886256</v>
      </c>
      <c r="Q7" s="55" t="n">
        <v>3</v>
      </c>
    </row>
    <row r="8">
      <c r="A8" s="14" t="inlineStr">
        <is>
          <t>Branded content / publieditorial</t>
        </is>
      </c>
      <c r="B8" s="26" t="n">
        <v>7946</v>
      </c>
      <c r="C8" s="27" t="n">
        <v>2208</v>
      </c>
      <c r="D8" s="27" t="n">
        <v>2948.05</v>
      </c>
      <c r="E8" s="27" t="n">
        <v>5165</v>
      </c>
      <c r="F8" s="27" t="n">
        <v>6000</v>
      </c>
      <c r="G8" s="30" t="n"/>
      <c r="H8" s="28" t="n"/>
      <c r="I8" s="29" t="n">
        <v>2208</v>
      </c>
      <c r="J8" s="48" t="inlineStr">
        <is>
          <t>A</t>
        </is>
      </c>
      <c r="K8" s="49" t="n"/>
      <c r="L8" s="20" t="n">
        <v>-0.7221243392902089</v>
      </c>
      <c r="M8" s="20" t="n">
        <v>-0.6289894286433426</v>
      </c>
      <c r="N8" s="20" t="n">
        <v>-0.3499874150515982</v>
      </c>
      <c r="O8" s="20" t="n">
        <v>-0.2449030958973069</v>
      </c>
      <c r="P8" s="20" t="n">
        <v>-1</v>
      </c>
      <c r="Q8" s="55" t="n">
        <v>0</v>
      </c>
    </row>
    <row r="9">
      <c r="A9" s="14" t="inlineStr">
        <is>
          <t>Criação de identidade visual (key visual)</t>
        </is>
      </c>
      <c r="B9" s="26" t="n">
        <v>13554</v>
      </c>
      <c r="C9" s="27" t="n">
        <v>4968</v>
      </c>
      <c r="D9" s="27" t="n">
        <v>5028.45</v>
      </c>
      <c r="E9" s="27" t="n">
        <v>8810</v>
      </c>
      <c r="F9" s="27" t="n">
        <v>11000</v>
      </c>
      <c r="G9" s="27" t="n">
        <v>8800</v>
      </c>
      <c r="H9" s="28" t="n"/>
      <c r="I9" s="29" t="n">
        <v>4968</v>
      </c>
      <c r="J9" s="48" t="inlineStr">
        <is>
          <t>A</t>
        </is>
      </c>
      <c r="K9" s="49" t="n"/>
      <c r="L9" s="20" t="n">
        <v>-0.6334661354581673</v>
      </c>
      <c r="M9" s="20" t="n">
        <v>-0.6290061974324923</v>
      </c>
      <c r="N9" s="20" t="n">
        <v>-0.3500073778958241</v>
      </c>
      <c r="O9" s="20" t="n">
        <v>-0.188431459347794</v>
      </c>
      <c r="P9" s="20" t="n">
        <v>-0.3507451674782353</v>
      </c>
      <c r="Q9" s="55" t="n">
        <v>17</v>
      </c>
    </row>
    <row r="10">
      <c r="A10" s="14" t="inlineStr">
        <is>
          <t>Criação de tema / conceito de campanha</t>
        </is>
      </c>
      <c r="B10" s="26" t="n">
        <v>27108</v>
      </c>
      <c r="C10" s="27" t="n">
        <v>1840</v>
      </c>
      <c r="D10" s="27" t="n">
        <v>10056.9</v>
      </c>
      <c r="E10" s="27" t="n">
        <v>17620</v>
      </c>
      <c r="F10" s="27" t="n">
        <v>18000</v>
      </c>
      <c r="G10" s="27" t="n">
        <v>25800</v>
      </c>
      <c r="H10" s="28" t="n"/>
      <c r="I10" s="29" t="n">
        <v>1840</v>
      </c>
      <c r="J10" s="48" t="inlineStr">
        <is>
          <t>A</t>
        </is>
      </c>
      <c r="K10" s="49" t="n"/>
      <c r="L10" s="20" t="n">
        <v>-0.9321233584181792</v>
      </c>
      <c r="M10" s="20" t="n">
        <v>-0.6290061974324923</v>
      </c>
      <c r="N10" s="20" t="n">
        <v>-0.3500073778958241</v>
      </c>
      <c r="O10" s="20" t="n">
        <v>-0.3359893758300133</v>
      </c>
      <c r="P10" s="20" t="n">
        <v>-0.04825143868968573</v>
      </c>
      <c r="Q10" s="55" t="n">
        <v>5</v>
      </c>
    </row>
    <row r="11">
      <c r="A11" s="14" t="inlineStr">
        <is>
          <t>Slogan</t>
        </is>
      </c>
      <c r="B11" s="26" t="n">
        <v>14545</v>
      </c>
      <c r="C11" s="27" t="n">
        <v>1104</v>
      </c>
      <c r="D11" s="27" t="n">
        <v>5396.3</v>
      </c>
      <c r="E11" s="27" t="n">
        <v>9454</v>
      </c>
      <c r="F11" s="27" t="n">
        <v>9000</v>
      </c>
      <c r="G11" s="27" t="n">
        <v>12000</v>
      </c>
      <c r="H11" s="28" t="n"/>
      <c r="I11" s="29" t="n">
        <v>1104</v>
      </c>
      <c r="J11" s="48" t="inlineStr">
        <is>
          <t>A</t>
        </is>
      </c>
      <c r="K11" s="49" t="n"/>
      <c r="L11" s="20" t="n">
        <v>-0.9240976280508766</v>
      </c>
      <c r="M11" s="20" t="n">
        <v>-0.6289927810244069</v>
      </c>
      <c r="N11" s="20" t="n">
        <v>-0.3500171880371261</v>
      </c>
      <c r="O11" s="20" t="n">
        <v>-0.3812306634582331</v>
      </c>
      <c r="P11" s="20" t="n">
        <v>-0.1749742179443108</v>
      </c>
      <c r="Q11" s="55" t="n">
        <v>0</v>
      </c>
    </row>
    <row r="12">
      <c r="A12" s="14" t="inlineStr">
        <is>
          <t>Moodboard</t>
        </is>
      </c>
      <c r="B12" s="26" t="n">
        <v>11785</v>
      </c>
      <c r="C12" s="27" t="n">
        <v>736</v>
      </c>
      <c r="D12" s="27" t="n">
        <v>4372.2</v>
      </c>
      <c r="E12" s="27" t="n">
        <v>7660</v>
      </c>
      <c r="F12" s="27" t="n">
        <v>8000</v>
      </c>
      <c r="G12" s="27" t="n">
        <v>7890</v>
      </c>
      <c r="H12" s="28" t="n"/>
      <c r="I12" s="29" t="n">
        <v>736</v>
      </c>
      <c r="J12" s="48" t="inlineStr">
        <is>
          <t>A</t>
        </is>
      </c>
      <c r="K12" s="49" t="n"/>
      <c r="L12" s="20" t="n">
        <v>-0.9375477301654646</v>
      </c>
      <c r="M12" s="20" t="n">
        <v>-0.6290029698769622</v>
      </c>
      <c r="N12" s="20" t="n">
        <v>-0.3500212134068731</v>
      </c>
      <c r="O12" s="20" t="n">
        <v>-0.3211709800593976</v>
      </c>
      <c r="P12" s="20" t="n">
        <v>-0.3305048790835808</v>
      </c>
      <c r="Q12" s="55" t="n">
        <v>0</v>
      </c>
    </row>
    <row r="13">
      <c r="A13" s="14" t="inlineStr">
        <is>
          <t>Planejamento de comunicação integrada</t>
        </is>
      </c>
      <c r="B13" s="26" t="n">
        <v>117535</v>
      </c>
      <c r="C13" s="27" t="n">
        <v>35000</v>
      </c>
      <c r="D13" s="27" t="n">
        <v>10901.45</v>
      </c>
      <c r="E13" s="27" t="n">
        <v>19100</v>
      </c>
      <c r="F13" s="27" t="n">
        <v>18000</v>
      </c>
      <c r="G13" s="27" t="n">
        <v>25000</v>
      </c>
      <c r="H13" s="28" t="n"/>
      <c r="I13" s="29" t="n">
        <v>10901.45</v>
      </c>
      <c r="J13" s="48" t="inlineStr">
        <is>
          <t>B</t>
        </is>
      </c>
      <c r="K13" s="49" t="n"/>
      <c r="L13" s="20" t="n">
        <v>-0.7022163610839325</v>
      </c>
      <c r="M13" s="20" t="n">
        <v>-0.9072493299868124</v>
      </c>
      <c r="N13" s="20" t="n">
        <v>-0.8374952141915174</v>
      </c>
      <c r="O13" s="20" t="n">
        <v>-0.846854128557451</v>
      </c>
      <c r="P13" s="20" t="n">
        <v>-0.7872974007742375</v>
      </c>
      <c r="Q13" s="55" t="n">
        <v>1</v>
      </c>
    </row>
    <row r="14">
      <c r="A14" s="14" t="inlineStr">
        <is>
          <t>Planejamento de campanha</t>
        </is>
      </c>
      <c r="B14" s="26" t="n">
        <v>58768</v>
      </c>
      <c r="C14" s="27" t="n">
        <v>4416</v>
      </c>
      <c r="D14" s="27" t="n">
        <v>5450.55</v>
      </c>
      <c r="E14" s="27" t="n">
        <v>9550</v>
      </c>
      <c r="F14" s="27" t="n">
        <v>10000</v>
      </c>
      <c r="G14" s="27" t="n">
        <v>12800</v>
      </c>
      <c r="H14" s="28" t="n"/>
      <c r="I14" s="29" t="n">
        <v>4416</v>
      </c>
      <c r="J14" s="48" t="inlineStr">
        <is>
          <t>A</t>
        </is>
      </c>
      <c r="K14" s="49" t="n"/>
      <c r="L14" s="20" t="n">
        <v>-0.9248570650694256</v>
      </c>
      <c r="M14" s="20" t="n">
        <v>-0.9072530969234958</v>
      </c>
      <c r="N14" s="20" t="n">
        <v>-0.8374965967873673</v>
      </c>
      <c r="O14" s="20" t="n">
        <v>-0.8298393683637354</v>
      </c>
      <c r="P14" s="20" t="n">
        <v>-0.7821943915055812</v>
      </c>
      <c r="Q14" s="55" t="n">
        <v>8</v>
      </c>
    </row>
    <row r="15">
      <c r="A15" s="14" t="inlineStr">
        <is>
          <t>Planejamento de mídia</t>
        </is>
      </c>
      <c r="B15" s="26" t="n">
        <v>41136</v>
      </c>
      <c r="C15" s="27" t="n">
        <v>15000</v>
      </c>
      <c r="D15" s="27" t="n">
        <v>3816.05</v>
      </c>
      <c r="E15" s="27" t="n">
        <v>6686</v>
      </c>
      <c r="F15" s="27" t="n">
        <v>8000</v>
      </c>
      <c r="G15" s="27" t="n">
        <v>8760</v>
      </c>
      <c r="H15" s="28" t="n"/>
      <c r="I15" s="29" t="n">
        <v>3816.05</v>
      </c>
      <c r="J15" s="48" t="inlineStr">
        <is>
          <t>B</t>
        </is>
      </c>
      <c r="K15" s="49" t="n"/>
      <c r="L15" s="20" t="n">
        <v>-0.6353558926487748</v>
      </c>
      <c r="M15" s="20" t="n">
        <v>-0.9072333236094905</v>
      </c>
      <c r="N15" s="20" t="n">
        <v>-0.8374659665499805</v>
      </c>
      <c r="O15" s="20" t="n">
        <v>-0.8055231427460132</v>
      </c>
      <c r="P15" s="20" t="n">
        <v>-0.7870478413068844</v>
      </c>
      <c r="Q15" s="55" t="n">
        <v>17</v>
      </c>
    </row>
    <row r="16">
      <c r="A16" s="14" t="inlineStr">
        <is>
          <t>Planejamento de ação promocional</t>
        </is>
      </c>
      <c r="B16" s="26" t="n">
        <v>41136</v>
      </c>
      <c r="C16" s="27" t="n">
        <v>5500</v>
      </c>
      <c r="D16" s="27" t="n">
        <v>15261.75</v>
      </c>
      <c r="E16" s="27" t="n">
        <v>26738</v>
      </c>
      <c r="F16" s="27" t="n">
        <v>28000</v>
      </c>
      <c r="G16" s="27" t="n">
        <v>37258</v>
      </c>
      <c r="H16" s="28" t="n"/>
      <c r="I16" s="29" t="n">
        <v>5500</v>
      </c>
      <c r="J16" s="48" t="inlineStr">
        <is>
          <t>A</t>
        </is>
      </c>
      <c r="K16" s="49" t="n"/>
      <c r="L16" s="20" t="n">
        <v>-0.8662971606378841</v>
      </c>
      <c r="M16" s="20" t="n">
        <v>-0.6289928529754959</v>
      </c>
      <c r="N16" s="20" t="n">
        <v>-0.3500097238428627</v>
      </c>
      <c r="O16" s="20" t="n">
        <v>-0.3193309996110463</v>
      </c>
      <c r="P16" s="20" t="n">
        <v>-0.09427265655387007</v>
      </c>
      <c r="Q16" s="55" t="n">
        <v>0</v>
      </c>
    </row>
    <row r="17">
      <c r="A17" s="14" t="inlineStr">
        <is>
          <t>Planejamento de eventos / feiras</t>
        </is>
      </c>
      <c r="B17" s="26" t="n">
        <v>58766</v>
      </c>
      <c r="C17" s="27" t="n">
        <v>6500</v>
      </c>
      <c r="D17" s="27" t="n">
        <v>21802.2</v>
      </c>
      <c r="E17" s="27" t="n">
        <v>38198</v>
      </c>
      <c r="F17" s="27" t="n">
        <v>35000</v>
      </c>
      <c r="G17" s="27" t="n">
        <v>53592</v>
      </c>
      <c r="H17" s="28" t="n"/>
      <c r="I17" s="29" t="n">
        <v>6500</v>
      </c>
      <c r="J17" s="48" t="inlineStr">
        <is>
          <t>A</t>
        </is>
      </c>
      <c r="K17" s="49" t="n"/>
      <c r="L17" s="20" t="n">
        <v>-0.8893918252050506</v>
      </c>
      <c r="M17" s="20" t="n">
        <v>-0.6289997617670081</v>
      </c>
      <c r="N17" s="20" t="n">
        <v>-0.3499982983357723</v>
      </c>
      <c r="O17" s="20" t="n">
        <v>-0.4044175203348875</v>
      </c>
      <c r="P17" s="20" t="n">
        <v>-0.08804410713677979</v>
      </c>
      <c r="Q17" s="55" t="n">
        <v>1</v>
      </c>
    </row>
    <row r="18">
      <c r="A18" s="14" t="inlineStr">
        <is>
          <t>Planejamento de brindes</t>
        </is>
      </c>
      <c r="B18" s="26" t="n">
        <v>29383</v>
      </c>
      <c r="C18" s="27" t="n">
        <v>2500</v>
      </c>
      <c r="D18" s="27" t="n">
        <v>10901.45</v>
      </c>
      <c r="E18" s="27" t="n">
        <v>19099</v>
      </c>
      <c r="F18" s="27" t="n">
        <v>7000</v>
      </c>
      <c r="G18" s="27" t="n">
        <v>26173</v>
      </c>
      <c r="H18" s="28" t="n"/>
      <c r="I18" s="29" t="n">
        <v>2500</v>
      </c>
      <c r="J18" s="48" t="inlineStr">
        <is>
          <t>A</t>
        </is>
      </c>
      <c r="K18" s="49" t="n"/>
      <c r="L18" s="20" t="n">
        <v>-0.9149167886192696</v>
      </c>
      <c r="M18" s="20" t="n">
        <v>-0.6289878501174149</v>
      </c>
      <c r="N18" s="20" t="n">
        <v>-0.3499982983357723</v>
      </c>
      <c r="O18" s="20" t="n">
        <v>-0.761767008133955</v>
      </c>
      <c r="P18" s="20" t="n">
        <v>-0.1092468434128577</v>
      </c>
      <c r="Q18" s="55" t="n">
        <v>0</v>
      </c>
    </row>
    <row r="19">
      <c r="A19" s="14" t="inlineStr">
        <is>
          <t>Planejamento para redes sociais</t>
        </is>
      </c>
      <c r="B19" s="26" t="n">
        <v>25754</v>
      </c>
      <c r="C19" s="27" t="n">
        <v>4416</v>
      </c>
      <c r="D19" s="27" t="n">
        <v>1359.4</v>
      </c>
      <c r="E19" s="27" t="n">
        <v>16740</v>
      </c>
      <c r="F19" s="27" t="n">
        <v>18000</v>
      </c>
      <c r="G19" s="27" t="n">
        <v>13400</v>
      </c>
      <c r="H19" s="28" t="n"/>
      <c r="I19" s="29" t="n">
        <v>1359.4</v>
      </c>
      <c r="J19" s="48" t="inlineStr">
        <is>
          <t>B</t>
        </is>
      </c>
      <c r="K19" s="49" t="n"/>
      <c r="L19" s="20" t="n">
        <v>-0.8285314902539411</v>
      </c>
      <c r="M19" s="20" t="n">
        <v>-0.9472159664518133</v>
      </c>
      <c r="N19" s="20" t="n">
        <v>-0.3500038828919779</v>
      </c>
      <c r="O19" s="20" t="n">
        <v>-0.3010794439698687</v>
      </c>
      <c r="P19" s="20" t="n">
        <v>-0.4796924749553467</v>
      </c>
      <c r="Q19" s="55" t="n">
        <v>10</v>
      </c>
    </row>
    <row r="20">
      <c r="A20" s="14" t="inlineStr">
        <is>
          <t>Diagnóstico da presença digital</t>
        </is>
      </c>
      <c r="B20" s="26" t="n">
        <v>20767</v>
      </c>
      <c r="C20" s="27" t="n">
        <v>367</v>
      </c>
      <c r="D20" s="27" t="n">
        <v>7704.55</v>
      </c>
      <c r="E20" s="27" t="n">
        <v>13499</v>
      </c>
      <c r="F20" s="27" t="n">
        <v>15000</v>
      </c>
      <c r="G20" s="27" t="n">
        <v>19500</v>
      </c>
      <c r="H20" s="28" t="n"/>
      <c r="I20" s="29" t="n">
        <v>367</v>
      </c>
      <c r="J20" s="48" t="inlineStr">
        <is>
          <t>A</t>
        </is>
      </c>
      <c r="K20" s="49" t="n"/>
      <c r="L20" s="20" t="n">
        <v>-0.9823277314970867</v>
      </c>
      <c r="M20" s="20" t="n">
        <v>-0.6290003370732412</v>
      </c>
      <c r="N20" s="20" t="n">
        <v>-0.3499783310059229</v>
      </c>
      <c r="O20" s="20" t="n">
        <v>-0.2777001974286127</v>
      </c>
      <c r="P20" s="20" t="n">
        <v>-0.0610102566571965</v>
      </c>
      <c r="Q20" s="55" t="n">
        <v>1</v>
      </c>
    </row>
    <row r="21">
      <c r="A21" s="14" t="inlineStr">
        <is>
          <t>Análise estratégica de dados</t>
        </is>
      </c>
      <c r="B21" s="26" t="n">
        <v>14692</v>
      </c>
      <c r="C21" s="27" t="n">
        <v>5500</v>
      </c>
      <c r="D21" s="27" t="n">
        <v>5450.55</v>
      </c>
      <c r="E21" s="27" t="n">
        <v>9550</v>
      </c>
      <c r="F21" s="27" t="n">
        <v>11000</v>
      </c>
      <c r="G21" s="27" t="n">
        <v>4200</v>
      </c>
      <c r="H21" s="28" t="n"/>
      <c r="I21" s="29" t="n">
        <v>4200</v>
      </c>
      <c r="J21" s="48" t="inlineStr">
        <is>
          <t>E</t>
        </is>
      </c>
      <c r="K21" s="49" t="n"/>
      <c r="L21" s="20" t="n">
        <v>-0.6256466104002179</v>
      </c>
      <c r="M21" s="20" t="n">
        <v>-0.629012387693983</v>
      </c>
      <c r="N21" s="20" t="n">
        <v>-0.3499863871494691</v>
      </c>
      <c r="O21" s="20" t="n">
        <v>-0.2512932208004356</v>
      </c>
      <c r="P21" s="20" t="n">
        <v>-0.7141301388510755</v>
      </c>
      <c r="Q21" s="55" t="n">
        <v>4</v>
      </c>
    </row>
    <row r="22">
      <c r="A22" s="14" t="inlineStr">
        <is>
          <t>Relatório de campanha</t>
        </is>
      </c>
      <c r="B22" s="26" t="n">
        <v>11455</v>
      </c>
      <c r="C22" s="27" t="n">
        <v>4048</v>
      </c>
      <c r="D22" s="27" t="n">
        <v>4250.05</v>
      </c>
      <c r="E22" s="27" t="n">
        <v>7446</v>
      </c>
      <c r="F22" s="27" t="n">
        <v>8000</v>
      </c>
      <c r="G22" s="27" t="n">
        <v>2800</v>
      </c>
      <c r="H22" s="28" t="n"/>
      <c r="I22" s="29" t="n">
        <v>2800</v>
      </c>
      <c r="J22" s="48" t="inlineStr">
        <is>
          <t>E</t>
        </is>
      </c>
      <c r="K22" s="49" t="n"/>
      <c r="L22" s="20" t="n">
        <v>-0.6466171977302488</v>
      </c>
      <c r="M22" s="20" t="n">
        <v>-0.6289786119598428</v>
      </c>
      <c r="N22" s="20" t="n">
        <v>-0.3499781754692274</v>
      </c>
      <c r="O22" s="20" t="n">
        <v>-0.3016150152771715</v>
      </c>
      <c r="P22" s="20" t="n">
        <v>-0.75556525534701</v>
      </c>
      <c r="Q22" s="55" t="n">
        <v>4</v>
      </c>
    </row>
    <row r="23">
      <c r="A23" s="14" t="inlineStr">
        <is>
          <t>Monitoramento e relatório mensal</t>
        </is>
      </c>
      <c r="B23" s="26" t="n">
        <v>6615</v>
      </c>
      <c r="C23" s="27" t="n">
        <v>4500</v>
      </c>
      <c r="D23" s="27" t="n">
        <v>2454.2</v>
      </c>
      <c r="E23" s="27" t="n">
        <v>4300</v>
      </c>
      <c r="F23" s="27" t="n">
        <v>5000</v>
      </c>
      <c r="G23" s="27" t="n">
        <v>10900</v>
      </c>
      <c r="H23" s="28" t="n"/>
      <c r="I23" s="29" t="n">
        <v>2454.2</v>
      </c>
      <c r="J23" s="48" t="inlineStr">
        <is>
          <t>B</t>
        </is>
      </c>
      <c r="K23" s="49" t="n"/>
      <c r="L23" s="20" t="n">
        <v>-0.3197278911564626</v>
      </c>
      <c r="M23" s="20" t="n">
        <v>-0.628994708994709</v>
      </c>
      <c r="N23" s="20" t="n">
        <v>-0.3499622071050642</v>
      </c>
      <c r="O23" s="20" t="n">
        <v>-0.2441421012849584</v>
      </c>
      <c r="P23" s="20" t="n">
        <v>0.6477702191987906</v>
      </c>
      <c r="Q23" s="55" t="n">
        <v>12</v>
      </c>
    </row>
    <row r="24">
      <c r="A24" s="14" t="inlineStr">
        <is>
          <t>Banner / cartaz / pôster (criação)</t>
        </is>
      </c>
      <c r="B24" s="26" t="n">
        <v>5715</v>
      </c>
      <c r="C24" s="27" t="n">
        <v>1104</v>
      </c>
      <c r="D24" s="27" t="n">
        <v>2120.3</v>
      </c>
      <c r="E24" s="27" t="n">
        <v>3715</v>
      </c>
      <c r="F24" s="27" t="n">
        <v>4000</v>
      </c>
      <c r="G24" s="27" t="n">
        <v>2187</v>
      </c>
      <c r="H24" s="28" t="n"/>
      <c r="I24" s="29" t="n">
        <v>1104</v>
      </c>
      <c r="J24" s="48" t="inlineStr">
        <is>
          <t>A</t>
        </is>
      </c>
      <c r="K24" s="49" t="n"/>
      <c r="L24" s="20" t="n">
        <v>-0.8068241469816273</v>
      </c>
      <c r="M24" s="20" t="n">
        <v>-0.6289938757655293</v>
      </c>
      <c r="N24" s="20" t="n">
        <v>-0.3499562554680665</v>
      </c>
      <c r="O24" s="20" t="n">
        <v>-0.3000874890638671</v>
      </c>
      <c r="P24" s="20" t="n">
        <v>-0.6173228346456693</v>
      </c>
      <c r="Q24" s="55" t="n">
        <v>35</v>
      </c>
    </row>
    <row r="25">
      <c r="A25" s="14" t="inlineStr">
        <is>
          <t>Flyer / volante (criação)</t>
        </is>
      </c>
      <c r="B25" s="26" t="n">
        <v>4572</v>
      </c>
      <c r="C25" s="27" t="n">
        <v>1656</v>
      </c>
      <c r="D25" s="27" t="n">
        <v>1696.1</v>
      </c>
      <c r="E25" s="27" t="n">
        <v>2972</v>
      </c>
      <c r="F25" s="27" t="n">
        <v>3500</v>
      </c>
      <c r="G25" s="27" t="n">
        <v>1700</v>
      </c>
      <c r="H25" s="28" t="n"/>
      <c r="I25" s="29" t="n">
        <v>1656</v>
      </c>
      <c r="J25" s="48" t="inlineStr">
        <is>
          <t>A</t>
        </is>
      </c>
      <c r="K25" s="49" t="n"/>
      <c r="L25" s="20" t="n">
        <v>-0.6377952755905512</v>
      </c>
      <c r="M25" s="20" t="n">
        <v>-0.6290244969378828</v>
      </c>
      <c r="N25" s="20" t="n">
        <v>-0.3499562554680665</v>
      </c>
      <c r="O25" s="20" t="n">
        <v>-0.2344706911636045</v>
      </c>
      <c r="P25" s="20" t="n">
        <v>-0.6281714785651793</v>
      </c>
      <c r="Q25" s="55" t="n">
        <v>13</v>
      </c>
    </row>
    <row r="26">
      <c r="A26" s="14" t="inlineStr">
        <is>
          <t>Folder (criação)</t>
        </is>
      </c>
      <c r="B26" s="26" t="n">
        <v>8868</v>
      </c>
      <c r="C26" s="27" t="n">
        <v>3496</v>
      </c>
      <c r="D26" s="27" t="n">
        <v>3290</v>
      </c>
      <c r="E26" s="27" t="n">
        <v>5764</v>
      </c>
      <c r="F26" s="27" t="n">
        <v>7000</v>
      </c>
      <c r="G26" s="27" t="n">
        <v>3645</v>
      </c>
      <c r="H26" s="28" t="n"/>
      <c r="I26" s="29" t="n">
        <v>3290</v>
      </c>
      <c r="J26" s="48" t="inlineStr">
        <is>
          <t>B</t>
        </is>
      </c>
      <c r="K26" s="49" t="n"/>
      <c r="L26" s="20" t="n">
        <v>-0.6057735678845286</v>
      </c>
      <c r="M26" s="20" t="n">
        <v>-0.6290031574199368</v>
      </c>
      <c r="N26" s="20" t="n">
        <v>-0.350022552999549</v>
      </c>
      <c r="O26" s="20" t="n">
        <v>-0.2106450157870997</v>
      </c>
      <c r="P26" s="20" t="n">
        <v>-0.5889715832205684</v>
      </c>
      <c r="Q26" s="55" t="n">
        <v>15</v>
      </c>
    </row>
    <row r="27">
      <c r="A27" s="14" t="inlineStr">
        <is>
          <t>Mala direta</t>
        </is>
      </c>
      <c r="B27" s="26" t="n">
        <v>7122</v>
      </c>
      <c r="C27" s="27" t="n">
        <v>1840</v>
      </c>
      <c r="D27" s="27" t="n">
        <v>2642.15</v>
      </c>
      <c r="E27" s="27" t="n">
        <v>4629</v>
      </c>
      <c r="F27" s="27" t="n">
        <v>5000</v>
      </c>
      <c r="G27" s="27" t="n">
        <v>6800</v>
      </c>
      <c r="H27" s="28" t="n"/>
      <c r="I27" s="29" t="n">
        <v>1840</v>
      </c>
      <c r="J27" s="48" t="inlineStr">
        <is>
          <t>A</t>
        </is>
      </c>
      <c r="K27" s="49" t="n"/>
      <c r="L27" s="20" t="n">
        <v>-0.7416456051670879</v>
      </c>
      <c r="M27" s="20" t="n">
        <v>-0.6290157259196855</v>
      </c>
      <c r="N27" s="20" t="n">
        <v>-0.3500421229991575</v>
      </c>
      <c r="O27" s="20" t="n">
        <v>-0.2979500140409997</v>
      </c>
      <c r="P27" s="20" t="n">
        <v>-0.04521201909575967</v>
      </c>
      <c r="Q27" s="55" t="n">
        <v>0</v>
      </c>
    </row>
    <row r="28">
      <c r="A28" s="14" t="inlineStr">
        <is>
          <t>Email marketing (imagem)</t>
        </is>
      </c>
      <c r="B28" s="26" t="n">
        <v>3824</v>
      </c>
      <c r="C28" s="27" t="n">
        <v>1104</v>
      </c>
      <c r="D28" s="27" t="n">
        <v>1418.9</v>
      </c>
      <c r="E28" s="27" t="n">
        <v>2486</v>
      </c>
      <c r="F28" s="27" t="n">
        <v>2500</v>
      </c>
      <c r="G28" s="27" t="n">
        <v>2430</v>
      </c>
      <c r="H28" s="28" t="n"/>
      <c r="I28" s="29" t="n">
        <v>1104</v>
      </c>
      <c r="J28" s="48" t="inlineStr">
        <is>
          <t>A</t>
        </is>
      </c>
      <c r="K28" s="49" t="n"/>
      <c r="L28" s="20" t="n">
        <v>-0.7112970711297071</v>
      </c>
      <c r="M28" s="20" t="n">
        <v>-0.6289487447698745</v>
      </c>
      <c r="N28" s="20" t="n">
        <v>-0.3498953974895398</v>
      </c>
      <c r="O28" s="20" t="n">
        <v>-0.3462343096234309</v>
      </c>
      <c r="P28" s="20" t="n">
        <v>-0.3645397489539749</v>
      </c>
      <c r="Q28" s="55" t="n">
        <v>11</v>
      </c>
    </row>
    <row r="29">
      <c r="A29" s="14" t="inlineStr">
        <is>
          <t>Infográfico (JPG / HTML)</t>
        </is>
      </c>
      <c r="B29" s="26" t="n">
        <v>11904</v>
      </c>
      <c r="C29" s="27" t="n">
        <v>4048</v>
      </c>
      <c r="D29" s="27" t="n">
        <v>4416.65</v>
      </c>
      <c r="E29" s="27" t="n">
        <v>7738</v>
      </c>
      <c r="F29" s="27" t="n">
        <v>8000</v>
      </c>
      <c r="G29" s="27" t="n">
        <v>6200</v>
      </c>
      <c r="H29" s="28" t="n"/>
      <c r="I29" s="29" t="n">
        <v>4048</v>
      </c>
      <c r="J29" s="48" t="inlineStr">
        <is>
          <t>A</t>
        </is>
      </c>
      <c r="K29" s="49" t="n"/>
      <c r="L29" s="20" t="n">
        <v>-0.6599462365591398</v>
      </c>
      <c r="M29" s="20" t="n">
        <v>-0.6289776545698925</v>
      </c>
      <c r="N29" s="20" t="n">
        <v>-0.3499663978494624</v>
      </c>
      <c r="O29" s="20" t="n">
        <v>-0.3279569892473119</v>
      </c>
      <c r="P29" s="20" t="n">
        <v>-0.4791666666666666</v>
      </c>
      <c r="Q29" s="55" t="n">
        <v>6</v>
      </c>
    </row>
    <row r="30">
      <c r="A30" s="14" t="inlineStr">
        <is>
          <t>Tabelas / gráficos</t>
        </is>
      </c>
      <c r="B30" s="26" t="n">
        <v>4216</v>
      </c>
      <c r="C30" s="27" t="n">
        <v>1104</v>
      </c>
      <c r="D30" s="27" t="n">
        <v>1564.15</v>
      </c>
      <c r="E30" s="27" t="n">
        <v>826</v>
      </c>
      <c r="F30" s="27" t="n">
        <v>3000</v>
      </c>
      <c r="G30" s="27" t="n">
        <v>1080</v>
      </c>
      <c r="H30" s="28" t="n"/>
      <c r="I30" s="29" t="n">
        <v>826</v>
      </c>
      <c r="J30" s="48" t="inlineStr">
        <is>
          <t>C</t>
        </is>
      </c>
      <c r="K30" s="49" t="n"/>
      <c r="L30" s="20" t="n">
        <v>-0.7381404174573055</v>
      </c>
      <c r="M30" s="20" t="n">
        <v>-0.628996679316888</v>
      </c>
      <c r="N30" s="20" t="n">
        <v>-0.8040796963946869</v>
      </c>
      <c r="O30" s="20" t="n">
        <v>-0.2884250474383302</v>
      </c>
      <c r="P30" s="20" t="n">
        <v>-0.7438330170777989</v>
      </c>
      <c r="Q30" s="55" t="n">
        <v>0</v>
      </c>
    </row>
    <row r="31">
      <c r="A31" s="14" t="inlineStr">
        <is>
          <t>Apresentação multimídia (projeto gráfico)</t>
        </is>
      </c>
      <c r="B31" s="26" t="n">
        <v>25684</v>
      </c>
      <c r="C31" s="27" t="n">
        <v>4784</v>
      </c>
      <c r="D31" s="27" t="n">
        <v>9528.75</v>
      </c>
      <c r="E31" s="27" t="n">
        <v>16695</v>
      </c>
      <c r="F31" s="27" t="n">
        <v>18000</v>
      </c>
      <c r="G31" s="27" t="n">
        <v>18900</v>
      </c>
      <c r="H31" s="28" t="n"/>
      <c r="I31" s="29" t="n">
        <v>4784</v>
      </c>
      <c r="J31" s="48" t="inlineStr">
        <is>
          <t>A</t>
        </is>
      </c>
      <c r="K31" s="49" t="n"/>
      <c r="L31" s="20" t="n">
        <v>-0.8137361781653948</v>
      </c>
      <c r="M31" s="20" t="n">
        <v>-0.6290005450864351</v>
      </c>
      <c r="N31" s="20" t="n">
        <v>-0.3499844261018533</v>
      </c>
      <c r="O31" s="20" t="n">
        <v>-0.2991745833982246</v>
      </c>
      <c r="P31" s="20" t="n">
        <v>-0.2641333125681358</v>
      </c>
      <c r="Q31" s="55" t="n">
        <v>3</v>
      </c>
    </row>
    <row r="32">
      <c r="A32" s="14" t="inlineStr">
        <is>
          <t>Apresentação multimídia (slide adicional)</t>
        </is>
      </c>
      <c r="B32" s="26" t="n">
        <v>5137</v>
      </c>
      <c r="C32" s="27" t="n">
        <v>368</v>
      </c>
      <c r="D32" s="27" t="n">
        <v>1905.75</v>
      </c>
      <c r="E32" s="27" t="n">
        <v>3339</v>
      </c>
      <c r="F32" s="27" t="n">
        <v>3500</v>
      </c>
      <c r="G32" s="27" t="n">
        <v>880</v>
      </c>
      <c r="H32" s="28" t="n"/>
      <c r="I32" s="29" t="n">
        <v>368</v>
      </c>
      <c r="J32" s="48" t="inlineStr">
        <is>
          <t>A</t>
        </is>
      </c>
      <c r="K32" s="49" t="n"/>
      <c r="L32" s="20" t="n">
        <v>-0.9283628576990461</v>
      </c>
      <c r="M32" s="20" t="n">
        <v>-0.6290149892933619</v>
      </c>
      <c r="N32" s="20" t="n">
        <v>-0.3500097333073778</v>
      </c>
      <c r="O32" s="20" t="n">
        <v>-0.3186684835507105</v>
      </c>
      <c r="P32" s="20" t="n">
        <v>-0.828693790149893</v>
      </c>
      <c r="Q32" s="55" t="n">
        <v>0</v>
      </c>
    </row>
    <row r="33">
      <c r="A33" s="14" t="inlineStr">
        <is>
          <t>Landing page</t>
        </is>
      </c>
      <c r="B33" s="26" t="n">
        <v>25419</v>
      </c>
      <c r="C33" s="27" t="n">
        <v>8096</v>
      </c>
      <c r="D33" s="27" t="n">
        <v>6565.3</v>
      </c>
      <c r="E33" s="27" t="n">
        <v>11502</v>
      </c>
      <c r="F33" s="27" t="n">
        <v>14000</v>
      </c>
      <c r="G33" s="27" t="n">
        <v>7290</v>
      </c>
      <c r="H33" s="28" t="n"/>
      <c r="I33" s="29" t="n">
        <v>6565.3</v>
      </c>
      <c r="J33" s="48" t="inlineStr">
        <is>
          <t>B</t>
        </is>
      </c>
      <c r="K33" s="49" t="n"/>
      <c r="L33" s="20" t="n">
        <v>-0.6814980919784412</v>
      </c>
      <c r="M33" s="20" t="n">
        <v>-0.741716825996302</v>
      </c>
      <c r="N33" s="20" t="n">
        <v>-0.5475038357134427</v>
      </c>
      <c r="O33" s="20" t="n">
        <v>-0.4492308902789253</v>
      </c>
      <c r="P33" s="20" t="n">
        <v>-0.7132066564380974</v>
      </c>
      <c r="Q33" s="55" t="n">
        <v>3</v>
      </c>
    </row>
    <row r="34">
      <c r="A34" s="14" t="inlineStr">
        <is>
          <t>Hotsite (baixa complexidade)</t>
        </is>
      </c>
      <c r="B34" s="26" t="n">
        <v>17696</v>
      </c>
      <c r="C34" s="27" t="n">
        <v>3312</v>
      </c>
      <c r="D34" s="27" t="n">
        <v>9430.4</v>
      </c>
      <c r="E34" s="27" t="n">
        <v>16522</v>
      </c>
      <c r="F34" s="27" t="n">
        <v>20000</v>
      </c>
      <c r="G34" s="27" t="n">
        <v>12150</v>
      </c>
      <c r="H34" s="28" t="n"/>
      <c r="I34" s="29" t="n">
        <v>3312</v>
      </c>
      <c r="J34" s="48" t="inlineStr">
        <is>
          <t>A</t>
        </is>
      </c>
      <c r="K34" s="49" t="n"/>
      <c r="L34" s="20" t="n">
        <v>-0.8128390596745028</v>
      </c>
      <c r="M34" s="20" t="n">
        <v>-0.4670886075949368</v>
      </c>
      <c r="N34" s="20" t="n">
        <v>-0.06634267631103075</v>
      </c>
      <c r="O34" s="20" t="n">
        <v>0.1301989150090417</v>
      </c>
      <c r="P34" s="20" t="n">
        <v>-0.3134041591320073</v>
      </c>
      <c r="Q34" s="55" t="n">
        <v>0</v>
      </c>
    </row>
    <row r="35">
      <c r="A35" s="14" t="inlineStr">
        <is>
          <t>Hotsite (média complexidade)</t>
        </is>
      </c>
      <c r="B35" s="26" t="n">
        <v>40957</v>
      </c>
      <c r="C35" s="27" t="n">
        <v>10672</v>
      </c>
      <c r="D35" s="27" t="n">
        <v>15195.25</v>
      </c>
      <c r="E35" s="27" t="n">
        <v>26622</v>
      </c>
      <c r="F35" s="27" t="n">
        <v>30000</v>
      </c>
      <c r="G35" s="27" t="n">
        <v>24300</v>
      </c>
      <c r="H35" s="28" t="n"/>
      <c r="I35" s="29" t="n">
        <v>10672</v>
      </c>
      <c r="J35" s="48" t="inlineStr">
        <is>
          <t>A</t>
        </is>
      </c>
      <c r="K35" s="49" t="n"/>
      <c r="L35" s="20" t="n">
        <v>-0.739434040579144</v>
      </c>
      <c r="M35" s="20" t="n">
        <v>-0.6289950435822936</v>
      </c>
      <c r="N35" s="20" t="n">
        <v>-0.3500012207925385</v>
      </c>
      <c r="O35" s="20" t="n">
        <v>-0.2675244768903973</v>
      </c>
      <c r="P35" s="20" t="n">
        <v>-0.4066948262812218</v>
      </c>
      <c r="Q35" s="55" t="n">
        <v>0</v>
      </c>
    </row>
    <row r="36">
      <c r="A36" s="14" t="inlineStr">
        <is>
          <t>Roteiro para vídeo até 60”</t>
        </is>
      </c>
      <c r="B36" s="26" t="n">
        <v>19364</v>
      </c>
      <c r="C36" s="27" t="n">
        <v>552</v>
      </c>
      <c r="D36" s="27" t="n">
        <v>7184.1</v>
      </c>
      <c r="E36" s="27" t="n">
        <v>12587</v>
      </c>
      <c r="F36" s="27" t="n">
        <v>9000</v>
      </c>
      <c r="G36" s="27" t="n">
        <v>7800</v>
      </c>
      <c r="H36" s="28" t="n"/>
      <c r="I36" s="29" t="n">
        <v>552</v>
      </c>
      <c r="J36" s="48" t="inlineStr">
        <is>
          <t>A</t>
        </is>
      </c>
      <c r="K36" s="49" t="n"/>
      <c r="L36" s="20" t="n">
        <v>-0.9714934930799421</v>
      </c>
      <c r="M36" s="20" t="n">
        <v>-0.6289971080355299</v>
      </c>
      <c r="N36" s="20" t="n">
        <v>-0.3499793431109275</v>
      </c>
      <c r="O36" s="20" t="n">
        <v>-0.5352199958686221</v>
      </c>
      <c r="P36" s="20" t="n">
        <v>-0.5971906630861392</v>
      </c>
      <c r="Q36" s="55" t="n">
        <v>1</v>
      </c>
    </row>
    <row r="37">
      <c r="A37" s="14" t="inlineStr">
        <is>
          <t>Roteiro para vídeo acima de 60”</t>
        </is>
      </c>
      <c r="B37" s="26" t="n">
        <v>29043</v>
      </c>
      <c r="C37" s="27" t="n">
        <v>1472</v>
      </c>
      <c r="D37" s="27" t="n">
        <v>10774.75</v>
      </c>
      <c r="E37" s="27" t="n">
        <v>18878</v>
      </c>
      <c r="F37" s="27" t="n">
        <v>18000</v>
      </c>
      <c r="G37" s="27" t="n">
        <v>11000</v>
      </c>
      <c r="H37" s="28" t="n"/>
      <c r="I37" s="29" t="n">
        <v>1472</v>
      </c>
      <c r="J37" s="48" t="inlineStr">
        <is>
          <t>A</t>
        </is>
      </c>
      <c r="K37" s="49" t="n"/>
      <c r="L37" s="20" t="n">
        <v>-0.9493165306614331</v>
      </c>
      <c r="M37" s="20" t="n">
        <v>-0.6290069896360568</v>
      </c>
      <c r="N37" s="20" t="n">
        <v>-0.3499982784147643</v>
      </c>
      <c r="O37" s="20" t="n">
        <v>-0.3802293151533932</v>
      </c>
      <c r="P37" s="20" t="n">
        <v>-0.6212512481492959</v>
      </c>
      <c r="Q37" s="55" t="n">
        <v>0</v>
      </c>
    </row>
    <row r="38">
      <c r="A38" s="14" t="inlineStr">
        <is>
          <t>Vídeo institucional até 5 minutos</t>
        </is>
      </c>
      <c r="B38" s="26" t="n">
        <v>29102</v>
      </c>
      <c r="C38" s="27" t="n">
        <v>9568</v>
      </c>
      <c r="D38" s="27" t="n">
        <v>10796.8</v>
      </c>
      <c r="E38" s="27" t="n">
        <v>18916</v>
      </c>
      <c r="F38" s="27" t="n">
        <v>24000</v>
      </c>
      <c r="G38" s="27" t="n">
        <v>60000</v>
      </c>
      <c r="H38" s="28" t="n"/>
      <c r="I38" s="29" t="n">
        <v>9568</v>
      </c>
      <c r="J38" s="48" t="inlineStr">
        <is>
          <t>A</t>
        </is>
      </c>
      <c r="K38" s="49" t="n"/>
      <c r="L38" s="20" t="n">
        <v>-0.6712253453370902</v>
      </c>
      <c r="M38" s="20" t="n">
        <v>-0.6290014431997801</v>
      </c>
      <c r="N38" s="20" t="n">
        <v>-0.3500103085698577</v>
      </c>
      <c r="O38" s="20" t="n">
        <v>-0.1753144113806612</v>
      </c>
      <c r="P38" s="20" t="n">
        <v>1.061713971548347</v>
      </c>
      <c r="Q38" s="55" t="n">
        <v>12</v>
      </c>
    </row>
    <row r="39">
      <c r="A39" s="14" t="inlineStr">
        <is>
          <t>Filme / VT até 60”</t>
        </is>
      </c>
      <c r="B39" s="26" t="n">
        <v>19364</v>
      </c>
      <c r="C39" s="27" t="n">
        <v>2024</v>
      </c>
      <c r="D39" s="27" t="n">
        <v>7184.1</v>
      </c>
      <c r="E39" s="27" t="n">
        <v>12587</v>
      </c>
      <c r="F39" s="27" t="n">
        <v>16000</v>
      </c>
      <c r="G39" s="27" t="n">
        <v>12800</v>
      </c>
      <c r="H39" s="28" t="n"/>
      <c r="I39" s="29" t="n">
        <v>2024</v>
      </c>
      <c r="J39" s="48" t="inlineStr">
        <is>
          <t>A</t>
        </is>
      </c>
      <c r="K39" s="49" t="n"/>
      <c r="L39" s="20" t="n">
        <v>-0.8954761412931213</v>
      </c>
      <c r="M39" s="20" t="n">
        <v>-0.6289971080355299</v>
      </c>
      <c r="N39" s="20" t="n">
        <v>-0.3499793431109275</v>
      </c>
      <c r="O39" s="20" t="n">
        <v>-0.1737244370997728</v>
      </c>
      <c r="P39" s="20" t="n">
        <v>-0.3389795496798182</v>
      </c>
      <c r="Q39" s="55" t="n">
        <v>0</v>
      </c>
    </row>
    <row r="40">
      <c r="A40" s="14" t="inlineStr">
        <is>
          <t>Filme / VT acima de 60”</t>
        </is>
      </c>
      <c r="B40" s="26" t="n">
        <v>29043</v>
      </c>
      <c r="C40" s="27" t="n">
        <v>4784</v>
      </c>
      <c r="D40" s="27" t="n">
        <v>10774.75</v>
      </c>
      <c r="E40" s="27" t="n">
        <v>18878</v>
      </c>
      <c r="F40" s="27" t="n">
        <v>24000</v>
      </c>
      <c r="G40" s="27" t="n">
        <v>14000</v>
      </c>
      <c r="H40" s="28" t="n"/>
      <c r="I40" s="29" t="n">
        <v>4784</v>
      </c>
      <c r="J40" s="48" t="inlineStr">
        <is>
          <t>A</t>
        </is>
      </c>
      <c r="K40" s="49" t="n"/>
      <c r="L40" s="20" t="n">
        <v>-0.8352787246496574</v>
      </c>
      <c r="M40" s="20" t="n">
        <v>-0.6290069896360568</v>
      </c>
      <c r="N40" s="20" t="n">
        <v>-0.3499982784147643</v>
      </c>
      <c r="O40" s="20" t="n">
        <v>-0.173639086871191</v>
      </c>
      <c r="P40" s="20" t="n">
        <v>-0.5179561340081947</v>
      </c>
      <c r="Q40" s="55" t="n">
        <v>0</v>
      </c>
    </row>
    <row r="41">
      <c r="A41" s="14" t="inlineStr">
        <is>
          <t>Vinheta eletrônica</t>
        </is>
      </c>
      <c r="B41" s="26" t="n">
        <v>12093</v>
      </c>
      <c r="C41" s="27" t="n">
        <v>2024</v>
      </c>
      <c r="D41" s="27" t="n">
        <v>4486.3</v>
      </c>
      <c r="E41" s="27" t="n">
        <v>8463</v>
      </c>
      <c r="F41" s="27" t="n">
        <v>11000</v>
      </c>
      <c r="G41" s="27" t="n">
        <v>7800</v>
      </c>
      <c r="H41" s="28" t="n"/>
      <c r="I41" s="29" t="n">
        <v>2024</v>
      </c>
      <c r="J41" s="48" t="inlineStr">
        <is>
          <t>A</t>
        </is>
      </c>
      <c r="K41" s="49" t="n"/>
      <c r="L41" s="20" t="n">
        <v>-0.8326304473662449</v>
      </c>
      <c r="M41" s="20" t="n">
        <v>-0.6290167865707434</v>
      </c>
      <c r="N41" s="20" t="n">
        <v>-0.3001736541801042</v>
      </c>
      <c r="O41" s="20" t="n">
        <v>-0.09038286612089641</v>
      </c>
      <c r="P41" s="20" t="n">
        <v>-0.3549987596129992</v>
      </c>
      <c r="Q41" s="55" t="n">
        <v>4</v>
      </c>
    </row>
    <row r="42">
      <c r="A42" s="14" t="inlineStr">
        <is>
          <t>Banner animado / vídeo digital</t>
        </is>
      </c>
      <c r="B42" s="26" t="n">
        <v>5678</v>
      </c>
      <c r="C42" s="27" t="n">
        <v>1288</v>
      </c>
      <c r="D42" s="27" t="n">
        <v>2106.3</v>
      </c>
      <c r="E42" s="27" t="n">
        <v>3691</v>
      </c>
      <c r="F42" s="27" t="n">
        <v>4500</v>
      </c>
      <c r="G42" s="27" t="n">
        <v>4860</v>
      </c>
      <c r="H42" s="28" t="n"/>
      <c r="I42" s="29" t="n">
        <v>1288</v>
      </c>
      <c r="J42" s="48" t="inlineStr">
        <is>
          <t>A</t>
        </is>
      </c>
      <c r="K42" s="49" t="n"/>
      <c r="L42" s="20" t="n">
        <v>-0.7731595632264883</v>
      </c>
      <c r="M42" s="20" t="n">
        <v>-0.6290419161676646</v>
      </c>
      <c r="N42" s="20" t="n">
        <v>-0.3499471644945403</v>
      </c>
      <c r="O42" s="20" t="n">
        <v>-0.2074674181049665</v>
      </c>
      <c r="P42" s="20" t="n">
        <v>-0.1440648115533638</v>
      </c>
      <c r="Q42" s="55" t="n">
        <v>2</v>
      </c>
    </row>
    <row r="43">
      <c r="A43" s="14" t="inlineStr">
        <is>
          <t>Motion design (peças digitais)</t>
        </is>
      </c>
      <c r="B43" s="26" t="n">
        <v>13020</v>
      </c>
      <c r="C43" s="27" t="n">
        <v>2208</v>
      </c>
      <c r="D43" s="27" t="n">
        <v>4830.7</v>
      </c>
      <c r="E43" s="27" t="n">
        <v>8463</v>
      </c>
      <c r="F43" s="27" t="n">
        <v>1000</v>
      </c>
      <c r="G43" s="27" t="n">
        <v>5400</v>
      </c>
      <c r="H43" s="28" t="n"/>
      <c r="I43" s="29" t="n">
        <v>1000</v>
      </c>
      <c r="J43" s="48" t="inlineStr">
        <is>
          <t>D</t>
        </is>
      </c>
      <c r="K43" s="49" t="n"/>
      <c r="L43" s="20" t="n">
        <v>-0.8304147465437788</v>
      </c>
      <c r="M43" s="20" t="n">
        <v>-0.6289784946236558</v>
      </c>
      <c r="N43" s="20" t="n">
        <v>-0.35</v>
      </c>
      <c r="O43" s="20" t="n">
        <v>-0.9231950844854071</v>
      </c>
      <c r="P43" s="20" t="n">
        <v>-0.5852534562211982</v>
      </c>
      <c r="Q43" s="55" t="n">
        <v>0</v>
      </c>
    </row>
    <row r="44">
      <c r="A44" s="14" t="inlineStr">
        <is>
          <t>Projeto de branding</t>
        </is>
      </c>
      <c r="B44" s="26" t="n">
        <v>117535</v>
      </c>
      <c r="C44" s="27" t="n">
        <v>18000</v>
      </c>
      <c r="D44" s="27" t="n">
        <v>43605.45</v>
      </c>
      <c r="E44" s="27" t="n">
        <v>76398</v>
      </c>
      <c r="F44" s="27" t="n">
        <v>85000</v>
      </c>
      <c r="G44" s="27" t="n">
        <v>65000</v>
      </c>
      <c r="H44" s="28" t="n"/>
      <c r="I44" s="29" t="n">
        <v>18000</v>
      </c>
      <c r="J44" s="48" t="inlineStr">
        <is>
          <t>A</t>
        </is>
      </c>
      <c r="K44" s="49" t="n"/>
      <c r="L44" s="20" t="n">
        <v>-0.846854128557451</v>
      </c>
      <c r="M44" s="20" t="n">
        <v>-0.6290002977836389</v>
      </c>
      <c r="N44" s="20" t="n">
        <v>-0.3499978729740078</v>
      </c>
      <c r="O44" s="20" t="n">
        <v>-0.2768111626324073</v>
      </c>
      <c r="P44" s="20" t="n">
        <v>-0.4469732420130174</v>
      </c>
      <c r="Q44" s="55" t="n">
        <v>1</v>
      </c>
    </row>
    <row r="45">
      <c r="A45" s="14" t="inlineStr">
        <is>
          <t>Marca / logotipo</t>
        </is>
      </c>
      <c r="B45" s="26" t="n">
        <v>22729</v>
      </c>
      <c r="C45" s="27" t="n">
        <v>3864</v>
      </c>
      <c r="D45" s="27" t="n">
        <v>8432.549999999999</v>
      </c>
      <c r="E45" s="27" t="n">
        <v>14774</v>
      </c>
      <c r="F45" s="27" t="n">
        <v>15000</v>
      </c>
      <c r="G45" s="27" t="n">
        <v>18000</v>
      </c>
      <c r="H45" s="28" t="n"/>
      <c r="I45" s="29" t="n">
        <v>3864</v>
      </c>
      <c r="J45" s="48" t="inlineStr">
        <is>
          <t>A</t>
        </is>
      </c>
      <c r="K45" s="49" t="n"/>
      <c r="L45" s="20" t="n">
        <v>-0.8299969202340622</v>
      </c>
      <c r="M45" s="20" t="n">
        <v>-0.6289959963042808</v>
      </c>
      <c r="N45" s="20" t="n">
        <v>-0.3499934005015619</v>
      </c>
      <c r="O45" s="20" t="n">
        <v>-0.3400501561881297</v>
      </c>
      <c r="P45" s="20" t="n">
        <v>-0.2080601874257556</v>
      </c>
      <c r="Q45" s="55" t="n">
        <v>5</v>
      </c>
    </row>
    <row r="46">
      <c r="A46" s="14" t="inlineStr">
        <is>
          <t>Nome de marca</t>
        </is>
      </c>
      <c r="B46" s="26" t="n">
        <v>27699</v>
      </c>
      <c r="C46" s="27" t="n">
        <v>1014</v>
      </c>
      <c r="D46" s="27" t="n">
        <v>10276.35</v>
      </c>
      <c r="E46" s="27" t="n">
        <v>18004</v>
      </c>
      <c r="F46" s="27" t="n">
        <v>20000</v>
      </c>
      <c r="G46" s="27" t="n">
        <v>22000</v>
      </c>
      <c r="H46" s="28" t="n"/>
      <c r="I46" s="29" t="n">
        <v>1014</v>
      </c>
      <c r="J46" s="48" t="inlineStr">
        <is>
          <t>A</t>
        </is>
      </c>
      <c r="K46" s="49" t="n"/>
      <c r="L46" s="20" t="n">
        <v>-0.9633921802231128</v>
      </c>
      <c r="M46" s="20" t="n">
        <v>-0.6289992418498862</v>
      </c>
      <c r="N46" s="20" t="n">
        <v>-0.3500126358352287</v>
      </c>
      <c r="O46" s="20" t="n">
        <v>-0.2779522726452218</v>
      </c>
      <c r="P46" s="20" t="n">
        <v>-0.2057474999097441</v>
      </c>
      <c r="Q46" s="55" t="n">
        <v>0</v>
      </c>
    </row>
    <row r="47">
      <c r="A47" s="14" t="inlineStr">
        <is>
          <t>Manual de identidade visual (por lâmina)</t>
        </is>
      </c>
      <c r="B47" s="26" t="n">
        <v>2598</v>
      </c>
      <c r="C47" s="27" t="n">
        <v>1067.2</v>
      </c>
      <c r="D47" s="27" t="n">
        <v>963.9</v>
      </c>
      <c r="E47" s="27" t="n">
        <v>1689</v>
      </c>
      <c r="F47" s="27" t="n">
        <v>2000</v>
      </c>
      <c r="G47" s="27" t="n">
        <v>1800</v>
      </c>
      <c r="H47" s="28" t="n"/>
      <c r="I47" s="29" t="n">
        <v>963.9</v>
      </c>
      <c r="J47" s="48" t="inlineStr">
        <is>
          <t>B</t>
        </is>
      </c>
      <c r="K47" s="49" t="n"/>
      <c r="L47" s="20" t="n">
        <v>-0.5892224788298691</v>
      </c>
      <c r="M47" s="20" t="n">
        <v>-0.6289838337182447</v>
      </c>
      <c r="N47" s="20" t="n">
        <v>-0.3498845265588915</v>
      </c>
      <c r="O47" s="20" t="n">
        <v>-0.2301770592763664</v>
      </c>
      <c r="P47" s="20" t="n">
        <v>-0.3071593533487298</v>
      </c>
      <c r="Q47" s="55" t="n">
        <v>0</v>
      </c>
    </row>
    <row r="48">
      <c r="A48" s="14" t="inlineStr">
        <is>
          <t>Programação visual de estande (conceito)</t>
        </is>
      </c>
      <c r="B48" s="26" t="n">
        <v>18296</v>
      </c>
      <c r="C48" s="27" t="n">
        <v>8500</v>
      </c>
      <c r="D48" s="27" t="n">
        <v>6787.9</v>
      </c>
      <c r="E48" s="27" t="n">
        <v>11892</v>
      </c>
      <c r="F48" s="27" t="n">
        <v>15000</v>
      </c>
      <c r="G48" s="27" t="n">
        <v>14700</v>
      </c>
      <c r="H48" s="28" t="n"/>
      <c r="I48" s="29" t="n">
        <v>6787.9</v>
      </c>
      <c r="J48" s="48" t="inlineStr">
        <is>
          <t>B</t>
        </is>
      </c>
      <c r="K48" s="49" t="n"/>
      <c r="L48" s="20" t="n">
        <v>-0.5354175776125929</v>
      </c>
      <c r="M48" s="20" t="n">
        <v>-0.6289954088325318</v>
      </c>
      <c r="N48" s="20" t="n">
        <v>-0.35002186270223</v>
      </c>
      <c r="O48" s="20" t="n">
        <v>-0.180148666375164</v>
      </c>
      <c r="P48" s="20" t="n">
        <v>-0.1965456930476607</v>
      </c>
      <c r="Q48" s="55" t="n">
        <v>0</v>
      </c>
    </row>
    <row r="49">
      <c r="A49" s="14" t="inlineStr">
        <is>
          <t>Projeto de sinalização (conceito)</t>
        </is>
      </c>
      <c r="B49" s="26" t="n">
        <v>7858</v>
      </c>
      <c r="C49" s="27" t="n">
        <v>7500</v>
      </c>
      <c r="D49" s="27" t="n">
        <v>4239.2</v>
      </c>
      <c r="E49" s="27" t="n">
        <v>6035</v>
      </c>
      <c r="F49" s="27" t="n">
        <v>7000</v>
      </c>
      <c r="G49" s="27" t="n">
        <v>8800</v>
      </c>
      <c r="H49" s="28" t="n"/>
      <c r="I49" s="29" t="n">
        <v>4239.2</v>
      </c>
      <c r="J49" s="48" t="inlineStr">
        <is>
          <t>B</t>
        </is>
      </c>
      <c r="K49" s="49" t="n"/>
      <c r="L49" s="20" t="n">
        <v>-0.04555866632730976</v>
      </c>
      <c r="M49" s="20" t="n">
        <v>-0.4605243064392975</v>
      </c>
      <c r="N49" s="20" t="n">
        <v>-0.2319928735047085</v>
      </c>
      <c r="O49" s="20" t="n">
        <v>-0.1091880885721558</v>
      </c>
      <c r="P49" s="20" t="n">
        <v>0.1198778315092899</v>
      </c>
      <c r="Q49" s="55" t="n">
        <v>6</v>
      </c>
    </row>
    <row r="50">
      <c r="A50" s="14" t="inlineStr">
        <is>
          <t>Outdoor / mídia exterior (criação)</t>
        </is>
      </c>
      <c r="B50" s="26" t="n">
        <v>7030</v>
      </c>
      <c r="C50" s="27" t="n">
        <v>2208</v>
      </c>
      <c r="D50" s="27" t="n">
        <v>2608.2</v>
      </c>
      <c r="E50" s="27" t="n">
        <v>4570</v>
      </c>
      <c r="F50" s="27" t="n">
        <v>5500</v>
      </c>
      <c r="G50" s="27" t="n">
        <v>3400</v>
      </c>
      <c r="H50" s="28" t="n"/>
      <c r="I50" s="29" t="n">
        <v>2208</v>
      </c>
      <c r="J50" s="48" t="inlineStr">
        <is>
          <t>A</t>
        </is>
      </c>
      <c r="K50" s="49" t="n"/>
      <c r="L50" s="20" t="n">
        <v>-0.6859174964438122</v>
      </c>
      <c r="M50" s="20" t="n">
        <v>-0.6289900426742532</v>
      </c>
      <c r="N50" s="20" t="n">
        <v>-0.3499288762446657</v>
      </c>
      <c r="O50" s="20" t="n">
        <v>-0.2176386913229018</v>
      </c>
      <c r="P50" s="20" t="n">
        <v>-0.5163584637268848</v>
      </c>
      <c r="Q50" s="55" t="n">
        <v>3</v>
      </c>
    </row>
    <row r="51">
      <c r="A51" s="14" t="inlineStr">
        <is>
          <t>Consultoria – diretor (hora)</t>
        </is>
      </c>
      <c r="B51" s="26" t="n">
        <v>1556</v>
      </c>
      <c r="C51" s="27" t="n">
        <v>367</v>
      </c>
      <c r="D51" s="27" t="n">
        <v>577.15</v>
      </c>
      <c r="E51" s="27" t="n">
        <v>1011</v>
      </c>
      <c r="F51" s="27" t="n">
        <v>1000</v>
      </c>
      <c r="G51" s="27" t="n">
        <v>523.26</v>
      </c>
      <c r="H51" s="28" t="n"/>
      <c r="I51" s="29" t="n">
        <v>367</v>
      </c>
      <c r="J51" s="48" t="inlineStr">
        <is>
          <t>A</t>
        </is>
      </c>
      <c r="K51" s="49" t="n"/>
      <c r="L51" s="20" t="n">
        <v>-0.7641388174807198</v>
      </c>
      <c r="M51" s="20" t="n">
        <v>-0.6290809768637533</v>
      </c>
      <c r="N51" s="20" t="n">
        <v>-0.3502570694087404</v>
      </c>
      <c r="O51" s="20" t="n">
        <v>-0.3573264781491002</v>
      </c>
      <c r="P51" s="20" t="n">
        <v>-0.6637146529562983</v>
      </c>
      <c r="Q51" s="55" t="n">
        <v>0</v>
      </c>
    </row>
    <row r="52">
      <c r="A52" s="14" t="inlineStr">
        <is>
          <t>Gerente / supervisor (hora)</t>
        </is>
      </c>
      <c r="B52" s="26" t="n">
        <v>1040</v>
      </c>
      <c r="C52" s="27" t="n">
        <v>263</v>
      </c>
      <c r="D52" s="27" t="n">
        <v>385.7</v>
      </c>
      <c r="E52" s="27" t="n">
        <v>676</v>
      </c>
      <c r="F52" s="27" t="n">
        <v>600</v>
      </c>
      <c r="G52" s="27" t="n">
        <v>361.25</v>
      </c>
      <c r="H52" s="28" t="n"/>
      <c r="I52" s="29" t="n">
        <v>263</v>
      </c>
      <c r="J52" s="48" t="inlineStr">
        <is>
          <t>A</t>
        </is>
      </c>
      <c r="K52" s="49" t="n"/>
      <c r="L52" s="20" t="n">
        <v>-0.7471153846153846</v>
      </c>
      <c r="M52" s="20" t="n">
        <v>-0.6291346153846153</v>
      </c>
      <c r="N52" s="20" t="n">
        <v>-0.35</v>
      </c>
      <c r="O52" s="20" t="n">
        <v>-0.4230769230769231</v>
      </c>
      <c r="P52" s="20" t="n">
        <v>-0.6526442307692308</v>
      </c>
      <c r="Q52" s="55" t="n">
        <v>0</v>
      </c>
    </row>
    <row r="53">
      <c r="A53" s="14" t="inlineStr">
        <is>
          <t>Analista / assistente (hora)</t>
        </is>
      </c>
      <c r="B53" s="26" t="n">
        <v>727</v>
      </c>
      <c r="C53" s="27" t="n">
        <v>127</v>
      </c>
      <c r="D53" s="27" t="n">
        <v>269.5</v>
      </c>
      <c r="E53" s="27" t="n">
        <v>473</v>
      </c>
      <c r="F53" s="27" t="n">
        <v>300</v>
      </c>
      <c r="G53" s="27" t="n">
        <v>201.42</v>
      </c>
      <c r="H53" s="28" t="n"/>
      <c r="I53" s="29" t="n">
        <v>127</v>
      </c>
      <c r="J53" s="48" t="inlineStr">
        <is>
          <t>A</t>
        </is>
      </c>
      <c r="K53" s="49" t="n"/>
      <c r="L53" s="20" t="n">
        <v>-0.8253094910591472</v>
      </c>
      <c r="M53" s="20" t="n">
        <v>-0.6292984869325997</v>
      </c>
      <c r="N53" s="20" t="n">
        <v>-0.3493810178817056</v>
      </c>
      <c r="O53" s="20" t="n">
        <v>-0.5873452544704264</v>
      </c>
      <c r="P53" s="20" t="n">
        <v>-0.7229436038514443</v>
      </c>
      <c r="Q53" s="55" t="n">
        <v>0</v>
      </c>
    </row>
    <row r="54">
      <c r="A54" s="14" t="inlineStr">
        <is>
          <t>Pesquisa em banco de imagem / vídeo</t>
        </is>
      </c>
      <c r="B54" s="26" t="n">
        <v>779</v>
      </c>
      <c r="C54" s="27" t="n">
        <v>460</v>
      </c>
      <c r="D54" s="27" t="n">
        <v>288.75</v>
      </c>
      <c r="E54" s="27" t="n">
        <v>506</v>
      </c>
      <c r="F54" s="27" t="n">
        <v>600</v>
      </c>
      <c r="G54" s="27" t="n">
        <v>650</v>
      </c>
      <c r="H54" s="28" t="n"/>
      <c r="I54" s="29" t="n">
        <v>288.75</v>
      </c>
      <c r="J54" s="48" t="inlineStr">
        <is>
          <t>B</t>
        </is>
      </c>
      <c r="K54" s="49" t="n"/>
      <c r="L54" s="20" t="n">
        <v>-0.4094993581514762</v>
      </c>
      <c r="M54" s="20" t="n">
        <v>-0.6293324775353017</v>
      </c>
      <c r="N54" s="20" t="n">
        <v>-0.3504492939666238</v>
      </c>
      <c r="O54" s="20" t="n">
        <v>-0.2297817715019256</v>
      </c>
      <c r="P54" s="20" t="n">
        <v>-0.165596919127086</v>
      </c>
      <c r="Q54" s="55" t="n">
        <v>0</v>
      </c>
    </row>
    <row r="55">
      <c r="A55" s="14" t="inlineStr">
        <is>
          <t>Fee mensal</t>
        </is>
      </c>
      <c r="B55" s="26" t="n">
        <v>29000</v>
      </c>
      <c r="C55" s="27" t="n">
        <v>95420</v>
      </c>
      <c r="D55" s="27" t="n">
        <v>75600</v>
      </c>
      <c r="E55" s="27" t="n">
        <v>76200</v>
      </c>
      <c r="F55" s="27" t="n">
        <v>55500</v>
      </c>
      <c r="G55" s="27" t="n">
        <v>99837</v>
      </c>
      <c r="H55" s="28" t="n"/>
      <c r="I55" s="29" t="n">
        <v>55500</v>
      </c>
      <c r="J55" s="48" t="inlineStr">
        <is>
          <t>D</t>
        </is>
      </c>
      <c r="K55" s="49" t="n"/>
      <c r="L55" s="45" t="n">
        <v>95420</v>
      </c>
      <c r="M55" s="45" t="n">
        <v>75600</v>
      </c>
      <c r="N55" s="45" t="n">
        <v>76200</v>
      </c>
      <c r="O55" s="45" t="n">
        <v>55500</v>
      </c>
      <c r="P55" s="45" t="n">
        <v>99837</v>
      </c>
      <c r="Q55" s="55" t="n">
        <v>12</v>
      </c>
    </row>
    <row r="56">
      <c r="A56" s="22" t="inlineStr">
        <is>
          <t>TOTAL</t>
        </is>
      </c>
      <c r="B56" s="31" t="n">
        <v>1086326</v>
      </c>
      <c r="C56" s="31" t="n">
        <v>316697.2</v>
      </c>
      <c r="D56" s="31" t="n">
        <v>402454.15</v>
      </c>
      <c r="E56" s="31" t="n">
        <v>657081</v>
      </c>
      <c r="F56" s="31" t="n">
        <v>673500</v>
      </c>
      <c r="G56" s="31" t="n">
        <v>733394.6</v>
      </c>
      <c r="H56" s="31" t="n"/>
      <c r="I56" s="32" t="n">
        <v>221858.15</v>
      </c>
      <c r="J56" s="54" t="n"/>
      <c r="K56" s="54" t="n"/>
      <c r="L56" s="52" t="n">
        <v>95381.379518299</v>
      </c>
      <c r="M56" s="52" t="n">
        <v>75568.74153339803</v>
      </c>
      <c r="N56" s="52" t="n">
        <v>76179.78852673498</v>
      </c>
      <c r="O56" s="52" t="n">
        <v>55486.43752000169</v>
      </c>
      <c r="P56" s="52" t="n">
        <v>99816.54502811765</v>
      </c>
    </row>
  </sheetData>
  <conditionalFormatting sqref="L2:P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6"/>
  <sheetViews>
    <sheetView workbookViewId="0">
      <selection activeCell="A1" sqref="A1"/>
    </sheetView>
  </sheetViews>
  <sheetFormatPr baseColWidth="8" defaultRowHeight="15"/>
  <cols>
    <col width="42.140625" bestFit="1" customWidth="1" min="1" max="1"/>
    <col width="13" customWidth="1" min="2" max="2"/>
    <col width="11" customWidth="1" min="3" max="7"/>
    <col width="3.28515625" customWidth="1" min="8" max="8"/>
    <col width="11" customWidth="1" min="9" max="9"/>
    <col width="12.140625" customWidth="1" min="10" max="10"/>
    <col width="3.85546875" customWidth="1" min="11" max="11"/>
    <col width="10.42578125" customWidth="1" min="12" max="16"/>
    <col width="16" customWidth="1" min="17" max="17"/>
  </cols>
  <sheetData>
    <row r="1" ht="51" customHeight="1">
      <c r="A1" s="41" t="inlineStr">
        <is>
          <t>Serviço</t>
        </is>
      </c>
      <c r="B1" s="41" t="inlineStr">
        <is>
          <t>Preço RC</t>
        </is>
      </c>
      <c r="C1" s="41" t="inlineStr">
        <is>
          <t>A</t>
        </is>
      </c>
      <c r="D1" s="41" t="inlineStr">
        <is>
          <t>B</t>
        </is>
      </c>
      <c r="E1" s="41" t="inlineStr">
        <is>
          <t>C</t>
        </is>
      </c>
      <c r="F1" s="41" t="inlineStr">
        <is>
          <t>D</t>
        </is>
      </c>
      <c r="G1" s="41" t="inlineStr">
        <is>
          <t>E</t>
        </is>
      </c>
      <c r="H1" s="42" t="n"/>
      <c r="I1" s="43" t="inlineStr">
        <is>
          <t>Menor Preço</t>
        </is>
      </c>
      <c r="J1" s="44" t="inlineStr">
        <is>
          <t>Fornecedor Menor Preço</t>
        </is>
      </c>
      <c r="K1" s="42" t="n"/>
      <c r="L1" s="41" t="inlineStr">
        <is>
          <t>A</t>
        </is>
      </c>
      <c r="M1" s="41" t="inlineStr">
        <is>
          <t>B</t>
        </is>
      </c>
      <c r="N1" s="41" t="inlineStr">
        <is>
          <t>C</t>
        </is>
      </c>
      <c r="O1" s="41" t="inlineStr">
        <is>
          <t>D</t>
        </is>
      </c>
      <c r="P1" s="41" t="inlineStr">
        <is>
          <t>E</t>
        </is>
      </c>
      <c r="Q1" s="41" t="inlineStr">
        <is>
          <t>Qtd anual estimada (base 2025)</t>
        </is>
      </c>
    </row>
    <row r="2">
      <c r="A2" s="33" t="inlineStr">
        <is>
          <t>Criação de post / card estático (texto e imagem)</t>
        </is>
      </c>
      <c r="B2" s="56" t="n">
        <v>4364</v>
      </c>
      <c r="C2" s="56" t="n">
        <v>1288</v>
      </c>
      <c r="D2" s="56" t="n">
        <v>1619.1</v>
      </c>
      <c r="E2" s="56" t="n">
        <v>2837</v>
      </c>
      <c r="F2" s="56" t="n">
        <v>3500</v>
      </c>
      <c r="G2" s="56" t="n">
        <v>2462</v>
      </c>
      <c r="H2" s="57" t="n"/>
      <c r="I2" s="58">
        <f>MIN(E2:G2)</f>
        <v/>
      </c>
      <c r="J2" s="48">
        <f>INDEX($C$2:$G$2,MATCH(I2,C2:G2,0))</f>
        <v/>
      </c>
      <c r="K2" s="49" t="n"/>
      <c r="L2" s="20">
        <f>C2/$B2-1</f>
        <v/>
      </c>
      <c r="M2" s="20">
        <f>D2/$B2-1</f>
        <v/>
      </c>
      <c r="N2" s="20">
        <f>E2/$B2-1</f>
        <v/>
      </c>
      <c r="O2" s="20">
        <f>F2/$B2-1</f>
        <v/>
      </c>
      <c r="P2" s="20">
        <f>G2/$B2-1</f>
        <v/>
      </c>
      <c r="Q2" s="59" t="n">
        <v>120</v>
      </c>
    </row>
    <row r="3">
      <c r="A3" s="33" t="inlineStr">
        <is>
          <t>Criação de post / card carrossel / multiproduto</t>
        </is>
      </c>
      <c r="B3" s="56" t="n">
        <v>5866</v>
      </c>
      <c r="C3" s="56" t="n">
        <v>3312</v>
      </c>
      <c r="D3" s="56" t="n">
        <v>2176.3</v>
      </c>
      <c r="E3" s="56" t="n">
        <v>3813</v>
      </c>
      <c r="F3" s="56" t="n">
        <v>4500</v>
      </c>
      <c r="G3" s="56" t="n">
        <v>3162</v>
      </c>
      <c r="H3" s="57" t="n"/>
      <c r="I3" s="58">
        <f>MIN(E3:G3)</f>
        <v/>
      </c>
      <c r="J3" s="48">
        <f>INDEX($C$2:$G$2,MATCH(I3,C3:G3,0))</f>
        <v/>
      </c>
      <c r="K3" s="49" t="n"/>
      <c r="L3" s="20">
        <f>C3/$B3-1</f>
        <v/>
      </c>
      <c r="M3" s="20">
        <f>D3/$B3-1</f>
        <v/>
      </c>
      <c r="N3" s="20">
        <f>E3/$B3-1</f>
        <v/>
      </c>
      <c r="O3" s="20">
        <f>F3/$B3-1</f>
        <v/>
      </c>
      <c r="P3" s="20">
        <f>G3/$B3-1</f>
        <v/>
      </c>
      <c r="Q3" s="59" t="n">
        <v>56</v>
      </c>
    </row>
    <row r="4">
      <c r="A4" s="33" t="inlineStr">
        <is>
          <t>Criação de post com animação 2D</t>
        </is>
      </c>
      <c r="B4" s="56" t="n">
        <v>8729</v>
      </c>
      <c r="C4" s="56" t="n">
        <v>4968</v>
      </c>
      <c r="D4" s="56" t="n">
        <v>2590.7</v>
      </c>
      <c r="E4" s="56" t="n">
        <v>5674</v>
      </c>
      <c r="F4" s="56" t="n">
        <v>5500</v>
      </c>
      <c r="G4" s="56" t="n">
        <v>5400</v>
      </c>
      <c r="H4" s="57" t="n"/>
      <c r="I4" s="58">
        <f>MIN(E4:G4)</f>
        <v/>
      </c>
      <c r="J4" s="48">
        <f>INDEX($C$2:$G$2,MATCH(I4,C4:G4,0))</f>
        <v/>
      </c>
      <c r="K4" s="49" t="n"/>
      <c r="L4" s="20">
        <f>C4/$B4-1</f>
        <v/>
      </c>
      <c r="M4" s="20">
        <f>D4/$B4-1</f>
        <v/>
      </c>
      <c r="N4" s="20">
        <f>E4/$B4-1</f>
        <v/>
      </c>
      <c r="O4" s="20">
        <f>F4/$B4-1</f>
        <v/>
      </c>
      <c r="P4" s="20">
        <f>G4/$B4-1</f>
        <v/>
      </c>
      <c r="Q4" s="59" t="n">
        <v>0</v>
      </c>
    </row>
    <row r="5">
      <c r="A5" s="33" t="inlineStr">
        <is>
          <t>Criação de thumbnail para vídeo</t>
        </is>
      </c>
      <c r="B5" s="56" t="n">
        <v>4364</v>
      </c>
      <c r="C5" s="56" t="n">
        <v>1288</v>
      </c>
      <c r="D5" s="56" t="n">
        <v>1619.1</v>
      </c>
      <c r="E5" s="56" t="n">
        <v>2837</v>
      </c>
      <c r="F5" s="56" t="n">
        <v>3500</v>
      </c>
      <c r="G5" s="56" t="n">
        <v>1900</v>
      </c>
      <c r="H5" s="57" t="n"/>
      <c r="I5" s="58">
        <f>MIN(E5:G5)</f>
        <v/>
      </c>
      <c r="J5" s="48">
        <f>INDEX($C$2:$G$2,MATCH(I5,C5:G5,0))</f>
        <v/>
      </c>
      <c r="K5" s="49" t="n"/>
      <c r="L5" s="20">
        <f>C5/$B5-1</f>
        <v/>
      </c>
      <c r="M5" s="20">
        <f>D5/$B5-1</f>
        <v/>
      </c>
      <c r="N5" s="20">
        <f>E5/$B5-1</f>
        <v/>
      </c>
      <c r="O5" s="20">
        <f>F5/$B5-1</f>
        <v/>
      </c>
      <c r="P5" s="20">
        <f>G5/$B5-1</f>
        <v/>
      </c>
      <c r="Q5" s="59" t="n">
        <v>0</v>
      </c>
    </row>
    <row r="6">
      <c r="A6" s="33" t="inlineStr">
        <is>
          <t>Criação de post para blog (texto + imagem)</t>
        </is>
      </c>
      <c r="B6" s="56" t="n">
        <v>6546</v>
      </c>
      <c r="C6" s="56" t="n">
        <v>2392</v>
      </c>
      <c r="D6" s="56" t="n">
        <v>2428.65</v>
      </c>
      <c r="E6" s="56" t="n">
        <v>4255</v>
      </c>
      <c r="F6" s="56" t="n">
        <v>4000</v>
      </c>
      <c r="G6" s="56" t="n">
        <v>4540</v>
      </c>
      <c r="H6" s="57" t="n"/>
      <c r="I6" s="58">
        <f>MIN(E6:G6)</f>
        <v/>
      </c>
      <c r="J6" s="48">
        <f>INDEX($C$2:$G$2,MATCH(I6,C6:G6,0))</f>
        <v/>
      </c>
      <c r="K6" s="49" t="n"/>
      <c r="L6" s="20">
        <f>C6/$B6-1</f>
        <v/>
      </c>
      <c r="M6" s="20">
        <f>D6/$B6-1</f>
        <v/>
      </c>
      <c r="N6" s="20">
        <f>E6/$B6-1</f>
        <v/>
      </c>
      <c r="O6" s="20">
        <f>F6/$B6-1</f>
        <v/>
      </c>
      <c r="P6" s="20">
        <f>G6/$B6-1</f>
        <v/>
      </c>
      <c r="Q6" s="59" t="n">
        <v>0</v>
      </c>
    </row>
    <row r="7">
      <c r="A7" s="33" t="inlineStr">
        <is>
          <t>Produção de texto livre (1.200 toques)</t>
        </is>
      </c>
      <c r="B7" s="56" t="n">
        <v>844</v>
      </c>
      <c r="C7" s="56" t="n">
        <v>552</v>
      </c>
      <c r="D7" s="56" t="n">
        <v>2920.05</v>
      </c>
      <c r="E7" s="56" t="n">
        <v>549</v>
      </c>
      <c r="F7" s="56" t="n">
        <v>4000</v>
      </c>
      <c r="G7" s="56" t="n">
        <v>562.67</v>
      </c>
      <c r="H7" s="57" t="n"/>
      <c r="I7" s="58">
        <f>MIN(E7:G7)</f>
        <v/>
      </c>
      <c r="J7" s="48">
        <f>INDEX($C$2:$G$2,MATCH(I7,C7:G7,0))</f>
        <v/>
      </c>
      <c r="K7" s="49" t="n"/>
      <c r="L7" s="20">
        <f>C7/$B7-1</f>
        <v/>
      </c>
      <c r="M7" s="20">
        <f>D7/$B7-1</f>
        <v/>
      </c>
      <c r="N7" s="20">
        <f>E7/$B7-1</f>
        <v/>
      </c>
      <c r="O7" s="20">
        <f>F7/$B7-1</f>
        <v/>
      </c>
      <c r="P7" s="20">
        <f>G7/$B7-1</f>
        <v/>
      </c>
      <c r="Q7" s="59" t="n">
        <v>3</v>
      </c>
    </row>
    <row r="8">
      <c r="A8" s="33" t="inlineStr">
        <is>
          <t>Branded content / publieditorial</t>
        </is>
      </c>
      <c r="B8" s="56" t="n">
        <v>7946</v>
      </c>
      <c r="C8" s="56" t="n">
        <v>2208</v>
      </c>
      <c r="D8" s="56" t="n">
        <v>2948.05</v>
      </c>
      <c r="E8" s="56" t="n">
        <v>5165</v>
      </c>
      <c r="F8" s="56" t="n">
        <v>6000</v>
      </c>
      <c r="G8" s="60" t="n"/>
      <c r="H8" s="57" t="n"/>
      <c r="I8" s="58">
        <f>MIN(E8:G8)</f>
        <v/>
      </c>
      <c r="J8" s="48">
        <f>INDEX($C$2:$G$2,MATCH(I8,C8:G8,0))</f>
        <v/>
      </c>
      <c r="K8" s="49" t="n"/>
      <c r="L8" s="20">
        <f>C8/$B8-1</f>
        <v/>
      </c>
      <c r="M8" s="20">
        <f>D8/$B8-1</f>
        <v/>
      </c>
      <c r="N8" s="20">
        <f>E8/$B8-1</f>
        <v/>
      </c>
      <c r="O8" s="20">
        <f>F8/$B8-1</f>
        <v/>
      </c>
      <c r="P8" s="20">
        <f>G8/$B8-1</f>
        <v/>
      </c>
      <c r="Q8" s="59" t="n">
        <v>0</v>
      </c>
    </row>
    <row r="9">
      <c r="A9" s="33" t="inlineStr">
        <is>
          <t>Criação de identidade visual (key visual)</t>
        </is>
      </c>
      <c r="B9" s="56" t="n">
        <v>13554</v>
      </c>
      <c r="C9" s="56" t="n">
        <v>4968</v>
      </c>
      <c r="D9" s="56" t="n">
        <v>5028.45</v>
      </c>
      <c r="E9" s="56" t="n">
        <v>8810</v>
      </c>
      <c r="F9" s="56" t="n">
        <v>11000</v>
      </c>
      <c r="G9" s="56" t="n">
        <v>8800</v>
      </c>
      <c r="H9" s="57" t="n"/>
      <c r="I9" s="58">
        <f>MIN(E9:G9)</f>
        <v/>
      </c>
      <c r="J9" s="48">
        <f>INDEX($C$2:$G$2,MATCH(I9,C9:G9,0))</f>
        <v/>
      </c>
      <c r="K9" s="49" t="n"/>
      <c r="L9" s="20">
        <f>C9/$B9-1</f>
        <v/>
      </c>
      <c r="M9" s="20">
        <f>D9/$B9-1</f>
        <v/>
      </c>
      <c r="N9" s="20">
        <f>E9/$B9-1</f>
        <v/>
      </c>
      <c r="O9" s="20">
        <f>F9/$B9-1</f>
        <v/>
      </c>
      <c r="P9" s="20">
        <f>G9/$B9-1</f>
        <v/>
      </c>
      <c r="Q9" s="59" t="n">
        <v>17</v>
      </c>
    </row>
    <row r="10">
      <c r="A10" s="33" t="inlineStr">
        <is>
          <t>Criação de tema / conceito de campanha</t>
        </is>
      </c>
      <c r="B10" s="56" t="n">
        <v>27108</v>
      </c>
      <c r="C10" s="56" t="n">
        <v>1840</v>
      </c>
      <c r="D10" s="56" t="n">
        <v>10056.9</v>
      </c>
      <c r="E10" s="56" t="n">
        <v>17620</v>
      </c>
      <c r="F10" s="56" t="n">
        <v>18000</v>
      </c>
      <c r="G10" s="56" t="n">
        <v>25800</v>
      </c>
      <c r="H10" s="57" t="n"/>
      <c r="I10" s="58">
        <f>MIN(E10:G10)</f>
        <v/>
      </c>
      <c r="J10" s="48">
        <f>INDEX($C$2:$G$2,MATCH(I10,C10:G10,0))</f>
        <v/>
      </c>
      <c r="K10" s="49" t="n"/>
      <c r="L10" s="20">
        <f>C10/$B10-1</f>
        <v/>
      </c>
      <c r="M10" s="20">
        <f>D10/$B10-1</f>
        <v/>
      </c>
      <c r="N10" s="20">
        <f>E10/$B10-1</f>
        <v/>
      </c>
      <c r="O10" s="20">
        <f>F10/$B10-1</f>
        <v/>
      </c>
      <c r="P10" s="20">
        <f>G10/$B10-1</f>
        <v/>
      </c>
      <c r="Q10" s="59" t="n">
        <v>5</v>
      </c>
    </row>
    <row r="11">
      <c r="A11" s="33" t="inlineStr">
        <is>
          <t>Slogan</t>
        </is>
      </c>
      <c r="B11" s="56" t="n">
        <v>14545</v>
      </c>
      <c r="C11" s="56" t="n">
        <v>1104</v>
      </c>
      <c r="D11" s="56" t="n">
        <v>5396.3</v>
      </c>
      <c r="E11" s="56" t="n">
        <v>9454</v>
      </c>
      <c r="F11" s="56" t="n">
        <v>9000</v>
      </c>
      <c r="G11" s="56" t="n">
        <v>12000</v>
      </c>
      <c r="H11" s="57" t="n"/>
      <c r="I11" s="58">
        <f>MIN(E11:G11)</f>
        <v/>
      </c>
      <c r="J11" s="48">
        <f>INDEX($C$2:$G$2,MATCH(I11,C11:G11,0))</f>
        <v/>
      </c>
      <c r="K11" s="49" t="n"/>
      <c r="L11" s="20">
        <f>C11/$B11-1</f>
        <v/>
      </c>
      <c r="M11" s="20">
        <f>D11/$B11-1</f>
        <v/>
      </c>
      <c r="N11" s="20">
        <f>E11/$B11-1</f>
        <v/>
      </c>
      <c r="O11" s="20">
        <f>F11/$B11-1</f>
        <v/>
      </c>
      <c r="P11" s="20">
        <f>G11/$B11-1</f>
        <v/>
      </c>
      <c r="Q11" s="59" t="n">
        <v>0</v>
      </c>
    </row>
    <row r="12">
      <c r="A12" s="33" t="inlineStr">
        <is>
          <t>Moodboard</t>
        </is>
      </c>
      <c r="B12" s="56" t="n">
        <v>11785</v>
      </c>
      <c r="C12" s="56" t="n">
        <v>736</v>
      </c>
      <c r="D12" s="56" t="n">
        <v>4372.2</v>
      </c>
      <c r="E12" s="56" t="n">
        <v>7660</v>
      </c>
      <c r="F12" s="56" t="n">
        <v>8000</v>
      </c>
      <c r="G12" s="56" t="n">
        <v>7890</v>
      </c>
      <c r="H12" s="57" t="n"/>
      <c r="I12" s="58">
        <f>MIN(E12:G12)</f>
        <v/>
      </c>
      <c r="J12" s="48">
        <f>INDEX($C$2:$G$2,MATCH(I12,C12:G12,0))</f>
        <v/>
      </c>
      <c r="K12" s="49" t="n"/>
      <c r="L12" s="20">
        <f>C12/$B12-1</f>
        <v/>
      </c>
      <c r="M12" s="20">
        <f>D12/$B12-1</f>
        <v/>
      </c>
      <c r="N12" s="20">
        <f>E12/$B12-1</f>
        <v/>
      </c>
      <c r="O12" s="20">
        <f>F12/$B12-1</f>
        <v/>
      </c>
      <c r="P12" s="20">
        <f>G12/$B12-1</f>
        <v/>
      </c>
      <c r="Q12" s="59" t="n">
        <v>0</v>
      </c>
    </row>
    <row r="13">
      <c r="A13" s="33" t="inlineStr">
        <is>
          <t>Planejamento de comunicação integrada</t>
        </is>
      </c>
      <c r="B13" s="56" t="n">
        <v>117535</v>
      </c>
      <c r="C13" s="56" t="n">
        <v>35000</v>
      </c>
      <c r="D13" s="56" t="n">
        <v>10901.45</v>
      </c>
      <c r="E13" s="56" t="n">
        <v>19100</v>
      </c>
      <c r="F13" s="56" t="n">
        <v>18000</v>
      </c>
      <c r="G13" s="56" t="n">
        <v>25000</v>
      </c>
      <c r="H13" s="57" t="n"/>
      <c r="I13" s="58">
        <f>MIN(E13:G13)</f>
        <v/>
      </c>
      <c r="J13" s="48">
        <f>INDEX($C$2:$G$2,MATCH(I13,C13:G13,0))</f>
        <v/>
      </c>
      <c r="K13" s="49" t="n"/>
      <c r="L13" s="20">
        <f>C13/$B13-1</f>
        <v/>
      </c>
      <c r="M13" s="20">
        <f>D13/$B13-1</f>
        <v/>
      </c>
      <c r="N13" s="20">
        <f>E13/$B13-1</f>
        <v/>
      </c>
      <c r="O13" s="20">
        <f>F13/$B13-1</f>
        <v/>
      </c>
      <c r="P13" s="20">
        <f>G13/$B13-1</f>
        <v/>
      </c>
      <c r="Q13" s="59" t="n">
        <v>1</v>
      </c>
    </row>
    <row r="14">
      <c r="A14" s="33" t="inlineStr">
        <is>
          <t>Planejamento de campanha</t>
        </is>
      </c>
      <c r="B14" s="56" t="n">
        <v>58768</v>
      </c>
      <c r="C14" s="56" t="n">
        <v>4416</v>
      </c>
      <c r="D14" s="56" t="n">
        <v>5450.55</v>
      </c>
      <c r="E14" s="56" t="n">
        <v>9550</v>
      </c>
      <c r="F14" s="56" t="n">
        <v>10000</v>
      </c>
      <c r="G14" s="56" t="n">
        <v>12800</v>
      </c>
      <c r="H14" s="57" t="n"/>
      <c r="I14" s="58">
        <f>MIN(E14:G14)</f>
        <v/>
      </c>
      <c r="J14" s="48">
        <f>INDEX($C$2:$G$2,MATCH(I14,C14:G14,0))</f>
        <v/>
      </c>
      <c r="K14" s="49" t="n"/>
      <c r="L14" s="20">
        <f>C14/$B14-1</f>
        <v/>
      </c>
      <c r="M14" s="20">
        <f>D14/$B14-1</f>
        <v/>
      </c>
      <c r="N14" s="20">
        <f>E14/$B14-1</f>
        <v/>
      </c>
      <c r="O14" s="20">
        <f>F14/$B14-1</f>
        <v/>
      </c>
      <c r="P14" s="20">
        <f>G14/$B14-1</f>
        <v/>
      </c>
      <c r="Q14" s="59" t="n">
        <v>8</v>
      </c>
    </row>
    <row r="15">
      <c r="A15" s="33" t="inlineStr">
        <is>
          <t>Planejamento de mídia</t>
        </is>
      </c>
      <c r="B15" s="56" t="n">
        <v>41136</v>
      </c>
      <c r="C15" s="56" t="n">
        <v>15000</v>
      </c>
      <c r="D15" s="56" t="n">
        <v>3816.05</v>
      </c>
      <c r="E15" s="56" t="n">
        <v>6686</v>
      </c>
      <c r="F15" s="56" t="n">
        <v>8000</v>
      </c>
      <c r="G15" s="56" t="n">
        <v>8760</v>
      </c>
      <c r="H15" s="57" t="n"/>
      <c r="I15" s="58">
        <f>MIN(E15:G15)</f>
        <v/>
      </c>
      <c r="J15" s="48">
        <f>INDEX($C$2:$G$2,MATCH(I15,C15:G15,0))</f>
        <v/>
      </c>
      <c r="K15" s="49" t="n"/>
      <c r="L15" s="20">
        <f>C15/$B15-1</f>
        <v/>
      </c>
      <c r="M15" s="20">
        <f>D15/$B15-1</f>
        <v/>
      </c>
      <c r="N15" s="20">
        <f>E15/$B15-1</f>
        <v/>
      </c>
      <c r="O15" s="20">
        <f>F15/$B15-1</f>
        <v/>
      </c>
      <c r="P15" s="20">
        <f>G15/$B15-1</f>
        <v/>
      </c>
      <c r="Q15" s="59" t="n">
        <v>17</v>
      </c>
    </row>
    <row r="16">
      <c r="A16" s="33" t="inlineStr">
        <is>
          <t>Planejamento de ação promocional</t>
        </is>
      </c>
      <c r="B16" s="56" t="n">
        <v>41136</v>
      </c>
      <c r="C16" s="56" t="n">
        <v>5500</v>
      </c>
      <c r="D16" s="56" t="n">
        <v>15261.75</v>
      </c>
      <c r="E16" s="56" t="n">
        <v>26738</v>
      </c>
      <c r="F16" s="56" t="n">
        <v>28000</v>
      </c>
      <c r="G16" s="56" t="n">
        <v>37258</v>
      </c>
      <c r="H16" s="57" t="n"/>
      <c r="I16" s="58">
        <f>MIN(E16:G16)</f>
        <v/>
      </c>
      <c r="J16" s="48">
        <f>INDEX($C$2:$G$2,MATCH(I16,C16:G16,0))</f>
        <v/>
      </c>
      <c r="K16" s="49" t="n"/>
      <c r="L16" s="20">
        <f>C16/$B16-1</f>
        <v/>
      </c>
      <c r="M16" s="20">
        <f>D16/$B16-1</f>
        <v/>
      </c>
      <c r="N16" s="20">
        <f>E16/$B16-1</f>
        <v/>
      </c>
      <c r="O16" s="20">
        <f>F16/$B16-1</f>
        <v/>
      </c>
      <c r="P16" s="20">
        <f>G16/$B16-1</f>
        <v/>
      </c>
      <c r="Q16" s="59" t="n">
        <v>0</v>
      </c>
    </row>
    <row r="17">
      <c r="A17" s="33" t="inlineStr">
        <is>
          <t>Planejamento de eventos / feiras</t>
        </is>
      </c>
      <c r="B17" s="56" t="n">
        <v>58766</v>
      </c>
      <c r="C17" s="56" t="n">
        <v>6500</v>
      </c>
      <c r="D17" s="56" t="n">
        <v>21802.2</v>
      </c>
      <c r="E17" s="56" t="n">
        <v>38198</v>
      </c>
      <c r="F17" s="56" t="n">
        <v>35000</v>
      </c>
      <c r="G17" s="56" t="n">
        <v>53592</v>
      </c>
      <c r="H17" s="57" t="n"/>
      <c r="I17" s="58">
        <f>MIN(E17:G17)</f>
        <v/>
      </c>
      <c r="J17" s="48">
        <f>INDEX($C$2:$G$2,MATCH(I17,C17:G17,0))</f>
        <v/>
      </c>
      <c r="K17" s="49" t="n"/>
      <c r="L17" s="20">
        <f>C17/$B17-1</f>
        <v/>
      </c>
      <c r="M17" s="20">
        <f>D17/$B17-1</f>
        <v/>
      </c>
      <c r="N17" s="20">
        <f>E17/$B17-1</f>
        <v/>
      </c>
      <c r="O17" s="20">
        <f>F17/$B17-1</f>
        <v/>
      </c>
      <c r="P17" s="20">
        <f>G17/$B17-1</f>
        <v/>
      </c>
      <c r="Q17" s="59" t="n">
        <v>1</v>
      </c>
    </row>
    <row r="18">
      <c r="A18" s="33" t="inlineStr">
        <is>
          <t>Planejamento de brindes</t>
        </is>
      </c>
      <c r="B18" s="56" t="n">
        <v>29383</v>
      </c>
      <c r="C18" s="56" t="n">
        <v>2500</v>
      </c>
      <c r="D18" s="56" t="n">
        <v>10901.45</v>
      </c>
      <c r="E18" s="56" t="n">
        <v>19099</v>
      </c>
      <c r="F18" s="56" t="n">
        <v>7000</v>
      </c>
      <c r="G18" s="56" t="n">
        <v>26173</v>
      </c>
      <c r="H18" s="57" t="n"/>
      <c r="I18" s="58">
        <f>MIN(E18:G18)</f>
        <v/>
      </c>
      <c r="J18" s="48">
        <f>INDEX($C$2:$G$2,MATCH(I18,C18:G18,0))</f>
        <v/>
      </c>
      <c r="K18" s="49" t="n"/>
      <c r="L18" s="20">
        <f>C18/$B18-1</f>
        <v/>
      </c>
      <c r="M18" s="20">
        <f>D18/$B18-1</f>
        <v/>
      </c>
      <c r="N18" s="20">
        <f>E18/$B18-1</f>
        <v/>
      </c>
      <c r="O18" s="20">
        <f>F18/$B18-1</f>
        <v/>
      </c>
      <c r="P18" s="20">
        <f>G18/$B18-1</f>
        <v/>
      </c>
      <c r="Q18" s="59" t="n">
        <v>0</v>
      </c>
    </row>
    <row r="19">
      <c r="A19" s="33" t="inlineStr">
        <is>
          <t>Planejamento para redes sociais</t>
        </is>
      </c>
      <c r="B19" s="56" t="n">
        <v>25754</v>
      </c>
      <c r="C19" s="56" t="n">
        <v>4416</v>
      </c>
      <c r="D19" s="56" t="n">
        <v>1359.4</v>
      </c>
      <c r="E19" s="56" t="n">
        <v>16740</v>
      </c>
      <c r="F19" s="56" t="n">
        <v>18000</v>
      </c>
      <c r="G19" s="56" t="n">
        <v>13400</v>
      </c>
      <c r="H19" s="57" t="n"/>
      <c r="I19" s="58">
        <f>MIN(E19:G19)</f>
        <v/>
      </c>
      <c r="J19" s="48">
        <f>INDEX($C$2:$G$2,MATCH(I19,C19:G19,0))</f>
        <v/>
      </c>
      <c r="K19" s="49" t="n"/>
      <c r="L19" s="20">
        <f>C19/$B19-1</f>
        <v/>
      </c>
      <c r="M19" s="20">
        <f>D19/$B19-1</f>
        <v/>
      </c>
      <c r="N19" s="20">
        <f>E19/$B19-1</f>
        <v/>
      </c>
      <c r="O19" s="20">
        <f>F19/$B19-1</f>
        <v/>
      </c>
      <c r="P19" s="20">
        <f>G19/$B19-1</f>
        <v/>
      </c>
      <c r="Q19" s="59" t="n">
        <v>10</v>
      </c>
    </row>
    <row r="20">
      <c r="A20" s="33" t="inlineStr">
        <is>
          <t>Diagnóstico da presença digital</t>
        </is>
      </c>
      <c r="B20" s="56" t="n">
        <v>20767</v>
      </c>
      <c r="C20" s="56" t="n">
        <v>367</v>
      </c>
      <c r="D20" s="56" t="n">
        <v>7704.55</v>
      </c>
      <c r="E20" s="56" t="n">
        <v>13499</v>
      </c>
      <c r="F20" s="56" t="n">
        <v>15000</v>
      </c>
      <c r="G20" s="56" t="n">
        <v>19500</v>
      </c>
      <c r="H20" s="57" t="n"/>
      <c r="I20" s="58">
        <f>MIN(E20:G20)</f>
        <v/>
      </c>
      <c r="J20" s="48">
        <f>INDEX($C$2:$G$2,MATCH(I20,C20:G20,0))</f>
        <v/>
      </c>
      <c r="K20" s="49" t="n"/>
      <c r="L20" s="20">
        <f>C20/$B20-1</f>
        <v/>
      </c>
      <c r="M20" s="20">
        <f>D20/$B20-1</f>
        <v/>
      </c>
      <c r="N20" s="20">
        <f>E20/$B20-1</f>
        <v/>
      </c>
      <c r="O20" s="20">
        <f>F20/$B20-1</f>
        <v/>
      </c>
      <c r="P20" s="20">
        <f>G20/$B20-1</f>
        <v/>
      </c>
      <c r="Q20" s="59" t="n">
        <v>1</v>
      </c>
    </row>
    <row r="21">
      <c r="A21" s="33" t="inlineStr">
        <is>
          <t>Análise estratégica de dados</t>
        </is>
      </c>
      <c r="B21" s="56" t="n">
        <v>14692</v>
      </c>
      <c r="C21" s="56" t="n">
        <v>5500</v>
      </c>
      <c r="D21" s="56" t="n">
        <v>5450.55</v>
      </c>
      <c r="E21" s="56" t="n">
        <v>9550</v>
      </c>
      <c r="F21" s="56" t="n">
        <v>11000</v>
      </c>
      <c r="G21" s="56" t="n">
        <v>4200</v>
      </c>
      <c r="H21" s="57" t="n"/>
      <c r="I21" s="58">
        <f>MIN(E21:G21)</f>
        <v/>
      </c>
      <c r="J21" s="48">
        <f>INDEX($C$2:$G$2,MATCH(I21,C21:G21,0))</f>
        <v/>
      </c>
      <c r="K21" s="49" t="n"/>
      <c r="L21" s="20">
        <f>C21/$B21-1</f>
        <v/>
      </c>
      <c r="M21" s="20">
        <f>D21/$B21-1</f>
        <v/>
      </c>
      <c r="N21" s="20">
        <f>E21/$B21-1</f>
        <v/>
      </c>
      <c r="O21" s="20">
        <f>F21/$B21-1</f>
        <v/>
      </c>
      <c r="P21" s="20">
        <f>G21/$B21-1</f>
        <v/>
      </c>
      <c r="Q21" s="59" t="n">
        <v>4</v>
      </c>
    </row>
    <row r="22">
      <c r="A22" s="33" t="inlineStr">
        <is>
          <t>Relatório de campanha</t>
        </is>
      </c>
      <c r="B22" s="56" t="n">
        <v>11455</v>
      </c>
      <c r="C22" s="56" t="n">
        <v>4048</v>
      </c>
      <c r="D22" s="56" t="n">
        <v>4250.05</v>
      </c>
      <c r="E22" s="56" t="n">
        <v>7446</v>
      </c>
      <c r="F22" s="56" t="n">
        <v>8000</v>
      </c>
      <c r="G22" s="56" t="n">
        <v>2800</v>
      </c>
      <c r="H22" s="57" t="n"/>
      <c r="I22" s="58">
        <f>MIN(E22:G22)</f>
        <v/>
      </c>
      <c r="J22" s="48">
        <f>INDEX($C$2:$G$2,MATCH(I22,C22:G22,0))</f>
        <v/>
      </c>
      <c r="K22" s="49" t="n"/>
      <c r="L22" s="20">
        <f>C22/$B22-1</f>
        <v/>
      </c>
      <c r="M22" s="20">
        <f>D22/$B22-1</f>
        <v/>
      </c>
      <c r="N22" s="20">
        <f>E22/$B22-1</f>
        <v/>
      </c>
      <c r="O22" s="20">
        <f>F22/$B22-1</f>
        <v/>
      </c>
      <c r="P22" s="20">
        <f>G22/$B22-1</f>
        <v/>
      </c>
      <c r="Q22" s="59" t="n">
        <v>4</v>
      </c>
    </row>
    <row r="23">
      <c r="A23" s="33" t="inlineStr">
        <is>
          <t>Monitoramento e relatório mensal</t>
        </is>
      </c>
      <c r="B23" s="56" t="n">
        <v>6615</v>
      </c>
      <c r="C23" s="56" t="n">
        <v>4500</v>
      </c>
      <c r="D23" s="56" t="n">
        <v>2454.2</v>
      </c>
      <c r="E23" s="56" t="n">
        <v>4300</v>
      </c>
      <c r="F23" s="56" t="n">
        <v>5000</v>
      </c>
      <c r="G23" s="56" t="n">
        <v>10900</v>
      </c>
      <c r="H23" s="57" t="n"/>
      <c r="I23" s="58">
        <f>MIN(E23:G23)</f>
        <v/>
      </c>
      <c r="J23" s="48">
        <f>INDEX($C$2:$G$2,MATCH(I23,C23:G23,0))</f>
        <v/>
      </c>
      <c r="K23" s="49" t="n"/>
      <c r="L23" s="20">
        <f>C23/$B23-1</f>
        <v/>
      </c>
      <c r="M23" s="20">
        <f>D23/$B23-1</f>
        <v/>
      </c>
      <c r="N23" s="20">
        <f>E23/$B23-1</f>
        <v/>
      </c>
      <c r="O23" s="20">
        <f>F23/$B23-1</f>
        <v/>
      </c>
      <c r="P23" s="20">
        <f>G23/$B23-1</f>
        <v/>
      </c>
      <c r="Q23" s="59" t="n">
        <v>12</v>
      </c>
    </row>
    <row r="24">
      <c r="A24" s="33" t="inlineStr">
        <is>
          <t>Banner / cartaz / pôster (criação)</t>
        </is>
      </c>
      <c r="B24" s="56" t="n">
        <v>5715</v>
      </c>
      <c r="C24" s="56" t="n">
        <v>1104</v>
      </c>
      <c r="D24" s="56" t="n">
        <v>2120.3</v>
      </c>
      <c r="E24" s="56" t="n">
        <v>3715</v>
      </c>
      <c r="F24" s="56" t="n">
        <v>4000</v>
      </c>
      <c r="G24" s="56" t="n">
        <v>2187</v>
      </c>
      <c r="H24" s="57" t="n"/>
      <c r="I24" s="58">
        <f>MIN(E24:G24)</f>
        <v/>
      </c>
      <c r="J24" s="48">
        <f>INDEX($C$2:$G$2,MATCH(I24,C24:G24,0))</f>
        <v/>
      </c>
      <c r="K24" s="49" t="n"/>
      <c r="L24" s="20">
        <f>C24/$B24-1</f>
        <v/>
      </c>
      <c r="M24" s="20">
        <f>D24/$B24-1</f>
        <v/>
      </c>
      <c r="N24" s="20">
        <f>E24/$B24-1</f>
        <v/>
      </c>
      <c r="O24" s="20">
        <f>F24/$B24-1</f>
        <v/>
      </c>
      <c r="P24" s="20">
        <f>G24/$B24-1</f>
        <v/>
      </c>
      <c r="Q24" s="59" t="n">
        <v>35</v>
      </c>
    </row>
    <row r="25">
      <c r="A25" s="33" t="inlineStr">
        <is>
          <t>Flyer / volante (criação)</t>
        </is>
      </c>
      <c r="B25" s="56" t="n">
        <v>4572</v>
      </c>
      <c r="C25" s="56" t="n">
        <v>1656</v>
      </c>
      <c r="D25" s="56" t="n">
        <v>1696.1</v>
      </c>
      <c r="E25" s="56" t="n">
        <v>2972</v>
      </c>
      <c r="F25" s="56" t="n">
        <v>3500</v>
      </c>
      <c r="G25" s="56" t="n">
        <v>1700</v>
      </c>
      <c r="H25" s="57" t="n"/>
      <c r="I25" s="58">
        <f>MIN(E25:G25)</f>
        <v/>
      </c>
      <c r="J25" s="48">
        <f>INDEX($C$2:$G$2,MATCH(I25,C25:G25,0))</f>
        <v/>
      </c>
      <c r="K25" s="49" t="n"/>
      <c r="L25" s="20">
        <f>C25/$B25-1</f>
        <v/>
      </c>
      <c r="M25" s="20">
        <f>D25/$B25-1</f>
        <v/>
      </c>
      <c r="N25" s="20">
        <f>E25/$B25-1</f>
        <v/>
      </c>
      <c r="O25" s="20">
        <f>F25/$B25-1</f>
        <v/>
      </c>
      <c r="P25" s="20">
        <f>G25/$B25-1</f>
        <v/>
      </c>
      <c r="Q25" s="59" t="n">
        <v>13</v>
      </c>
    </row>
    <row r="26">
      <c r="A26" s="33" t="inlineStr">
        <is>
          <t>Folder (criação)</t>
        </is>
      </c>
      <c r="B26" s="56" t="n">
        <v>8868</v>
      </c>
      <c r="C26" s="56" t="n">
        <v>3496</v>
      </c>
      <c r="D26" s="56" t="n">
        <v>3290</v>
      </c>
      <c r="E26" s="56" t="n">
        <v>5764</v>
      </c>
      <c r="F26" s="56" t="n">
        <v>7000</v>
      </c>
      <c r="G26" s="56" t="n">
        <v>3645</v>
      </c>
      <c r="H26" s="57" t="n"/>
      <c r="I26" s="58">
        <f>MIN(E26:G26)</f>
        <v/>
      </c>
      <c r="J26" s="48">
        <f>INDEX($C$2:$G$2,MATCH(I26,C26:G26,0))</f>
        <v/>
      </c>
      <c r="K26" s="49" t="n"/>
      <c r="L26" s="20">
        <f>C26/$B26-1</f>
        <v/>
      </c>
      <c r="M26" s="20">
        <f>D26/$B26-1</f>
        <v/>
      </c>
      <c r="N26" s="20">
        <f>E26/$B26-1</f>
        <v/>
      </c>
      <c r="O26" s="20">
        <f>F26/$B26-1</f>
        <v/>
      </c>
      <c r="P26" s="20">
        <f>G26/$B26-1</f>
        <v/>
      </c>
      <c r="Q26" s="59" t="n">
        <v>15</v>
      </c>
    </row>
    <row r="27">
      <c r="A27" s="33" t="inlineStr">
        <is>
          <t>Mala direta</t>
        </is>
      </c>
      <c r="B27" s="56" t="n">
        <v>7122</v>
      </c>
      <c r="C27" s="56" t="n">
        <v>1840</v>
      </c>
      <c r="D27" s="56" t="n">
        <v>2642.15</v>
      </c>
      <c r="E27" s="56" t="n">
        <v>4629</v>
      </c>
      <c r="F27" s="56" t="n">
        <v>5000</v>
      </c>
      <c r="G27" s="56" t="n">
        <v>6800</v>
      </c>
      <c r="H27" s="57" t="n"/>
      <c r="I27" s="58">
        <f>MIN(E27:G27)</f>
        <v/>
      </c>
      <c r="J27" s="48">
        <f>INDEX($C$2:$G$2,MATCH(I27,C27:G27,0))</f>
        <v/>
      </c>
      <c r="K27" s="49" t="n"/>
      <c r="L27" s="20">
        <f>C27/$B27-1</f>
        <v/>
      </c>
      <c r="M27" s="20">
        <f>D27/$B27-1</f>
        <v/>
      </c>
      <c r="N27" s="20">
        <f>E27/$B27-1</f>
        <v/>
      </c>
      <c r="O27" s="20">
        <f>F27/$B27-1</f>
        <v/>
      </c>
      <c r="P27" s="20">
        <f>G27/$B27-1</f>
        <v/>
      </c>
      <c r="Q27" s="59" t="n">
        <v>0</v>
      </c>
    </row>
    <row r="28">
      <c r="A28" s="33" t="inlineStr">
        <is>
          <t>Email marketing (imagem)</t>
        </is>
      </c>
      <c r="B28" s="56" t="n">
        <v>3824</v>
      </c>
      <c r="C28" s="56" t="n">
        <v>1104</v>
      </c>
      <c r="D28" s="56" t="n">
        <v>1418.9</v>
      </c>
      <c r="E28" s="56" t="n">
        <v>2486</v>
      </c>
      <c r="F28" s="56" t="n">
        <v>2500</v>
      </c>
      <c r="G28" s="56" t="n">
        <v>2430</v>
      </c>
      <c r="H28" s="57" t="n"/>
      <c r="I28" s="58">
        <f>MIN(E28:G28)</f>
        <v/>
      </c>
      <c r="J28" s="48">
        <f>INDEX($C$2:$G$2,MATCH(I28,C28:G28,0))</f>
        <v/>
      </c>
      <c r="K28" s="49" t="n"/>
      <c r="L28" s="20">
        <f>C28/$B28-1</f>
        <v/>
      </c>
      <c r="M28" s="20">
        <f>D28/$B28-1</f>
        <v/>
      </c>
      <c r="N28" s="20">
        <f>E28/$B28-1</f>
        <v/>
      </c>
      <c r="O28" s="20">
        <f>F28/$B28-1</f>
        <v/>
      </c>
      <c r="P28" s="20">
        <f>G28/$B28-1</f>
        <v/>
      </c>
      <c r="Q28" s="59" t="n">
        <v>11</v>
      </c>
    </row>
    <row r="29">
      <c r="A29" s="33" t="inlineStr">
        <is>
          <t>Infográfico (JPG / HTML)</t>
        </is>
      </c>
      <c r="B29" s="56" t="n">
        <v>11904</v>
      </c>
      <c r="C29" s="56" t="n">
        <v>4048</v>
      </c>
      <c r="D29" s="56" t="n">
        <v>4416.65</v>
      </c>
      <c r="E29" s="56" t="n">
        <v>7738</v>
      </c>
      <c r="F29" s="56" t="n">
        <v>8000</v>
      </c>
      <c r="G29" s="56" t="n">
        <v>6200</v>
      </c>
      <c r="H29" s="57" t="n"/>
      <c r="I29" s="58">
        <f>MIN(E29:G29)</f>
        <v/>
      </c>
      <c r="J29" s="48">
        <f>INDEX($C$2:$G$2,MATCH(I29,C29:G29,0))</f>
        <v/>
      </c>
      <c r="K29" s="49" t="n"/>
      <c r="L29" s="20">
        <f>C29/$B29-1</f>
        <v/>
      </c>
      <c r="M29" s="20">
        <f>D29/$B29-1</f>
        <v/>
      </c>
      <c r="N29" s="20">
        <f>E29/$B29-1</f>
        <v/>
      </c>
      <c r="O29" s="20">
        <f>F29/$B29-1</f>
        <v/>
      </c>
      <c r="P29" s="20">
        <f>G29/$B29-1</f>
        <v/>
      </c>
      <c r="Q29" s="59" t="n">
        <v>6</v>
      </c>
    </row>
    <row r="30">
      <c r="A30" s="33" t="inlineStr">
        <is>
          <t>Tabelas / gráficos</t>
        </is>
      </c>
      <c r="B30" s="56" t="n">
        <v>4216</v>
      </c>
      <c r="C30" s="56" t="n">
        <v>1104</v>
      </c>
      <c r="D30" s="56" t="n">
        <v>1564.15</v>
      </c>
      <c r="E30" s="56" t="n">
        <v>826</v>
      </c>
      <c r="F30" s="56" t="n">
        <v>3000</v>
      </c>
      <c r="G30" s="56" t="n">
        <v>1080</v>
      </c>
      <c r="H30" s="57" t="n"/>
      <c r="I30" s="58">
        <f>MIN(E30:G30)</f>
        <v/>
      </c>
      <c r="J30" s="48">
        <f>INDEX($C$2:$G$2,MATCH(I30,C30:G30,0))</f>
        <v/>
      </c>
      <c r="K30" s="49" t="n"/>
      <c r="L30" s="20">
        <f>C30/$B30-1</f>
        <v/>
      </c>
      <c r="M30" s="20">
        <f>D30/$B30-1</f>
        <v/>
      </c>
      <c r="N30" s="20">
        <f>E30/$B30-1</f>
        <v/>
      </c>
      <c r="O30" s="20">
        <f>F30/$B30-1</f>
        <v/>
      </c>
      <c r="P30" s="20">
        <f>G30/$B30-1</f>
        <v/>
      </c>
      <c r="Q30" s="59" t="n">
        <v>0</v>
      </c>
    </row>
    <row r="31">
      <c r="A31" s="33" t="inlineStr">
        <is>
          <t>Apresentação multimídia (projeto gráfico)</t>
        </is>
      </c>
      <c r="B31" s="56" t="n">
        <v>25684</v>
      </c>
      <c r="C31" s="56" t="n">
        <v>4784</v>
      </c>
      <c r="D31" s="56" t="n">
        <v>9528.75</v>
      </c>
      <c r="E31" s="56" t="n">
        <v>16695</v>
      </c>
      <c r="F31" s="56" t="n">
        <v>18000</v>
      </c>
      <c r="G31" s="56" t="n">
        <v>18900</v>
      </c>
      <c r="H31" s="57" t="n"/>
      <c r="I31" s="58">
        <f>MIN(E31:G31)</f>
        <v/>
      </c>
      <c r="J31" s="48">
        <f>INDEX($C$2:$G$2,MATCH(I31,C31:G31,0))</f>
        <v/>
      </c>
      <c r="K31" s="49" t="n"/>
      <c r="L31" s="20">
        <f>C31/$B31-1</f>
        <v/>
      </c>
      <c r="M31" s="20">
        <f>D31/$B31-1</f>
        <v/>
      </c>
      <c r="N31" s="20">
        <f>E31/$B31-1</f>
        <v/>
      </c>
      <c r="O31" s="20">
        <f>F31/$B31-1</f>
        <v/>
      </c>
      <c r="P31" s="20">
        <f>G31/$B31-1</f>
        <v/>
      </c>
      <c r="Q31" s="59" t="n">
        <v>3</v>
      </c>
    </row>
    <row r="32">
      <c r="A32" s="33" t="inlineStr">
        <is>
          <t>Apresentação multimídia (slide adicional)</t>
        </is>
      </c>
      <c r="B32" s="56" t="n">
        <v>5137</v>
      </c>
      <c r="C32" s="56" t="n">
        <v>368</v>
      </c>
      <c r="D32" s="56" t="n">
        <v>1905.75</v>
      </c>
      <c r="E32" s="56" t="n">
        <v>3339</v>
      </c>
      <c r="F32" s="56" t="n">
        <v>3500</v>
      </c>
      <c r="G32" s="56" t="n">
        <v>880</v>
      </c>
      <c r="H32" s="57" t="n"/>
      <c r="I32" s="58">
        <f>MIN(E32:G32)</f>
        <v/>
      </c>
      <c r="J32" s="48">
        <f>INDEX($C$2:$G$2,MATCH(I32,C32:G32,0))</f>
        <v/>
      </c>
      <c r="K32" s="49" t="n"/>
      <c r="L32" s="20">
        <f>C32/$B32-1</f>
        <v/>
      </c>
      <c r="M32" s="20">
        <f>D32/$B32-1</f>
        <v/>
      </c>
      <c r="N32" s="20">
        <f>E32/$B32-1</f>
        <v/>
      </c>
      <c r="O32" s="20">
        <f>F32/$B32-1</f>
        <v/>
      </c>
      <c r="P32" s="20">
        <f>G32/$B32-1</f>
        <v/>
      </c>
      <c r="Q32" s="59" t="n">
        <v>0</v>
      </c>
    </row>
    <row r="33">
      <c r="A33" s="33" t="inlineStr">
        <is>
          <t>Landing page</t>
        </is>
      </c>
      <c r="B33" s="56" t="n">
        <v>25419</v>
      </c>
      <c r="C33" s="56" t="n">
        <v>8096</v>
      </c>
      <c r="D33" s="56" t="n">
        <v>6565.3</v>
      </c>
      <c r="E33" s="56" t="n">
        <v>11502</v>
      </c>
      <c r="F33" s="56" t="n">
        <v>14000</v>
      </c>
      <c r="G33" s="56" t="n">
        <v>7290</v>
      </c>
      <c r="H33" s="57" t="n"/>
      <c r="I33" s="58">
        <f>MIN(E33:G33)</f>
        <v/>
      </c>
      <c r="J33" s="48">
        <f>INDEX($C$2:$G$2,MATCH(I33,C33:G33,0))</f>
        <v/>
      </c>
      <c r="K33" s="49" t="n"/>
      <c r="L33" s="20">
        <f>C33/$B33-1</f>
        <v/>
      </c>
      <c r="M33" s="20">
        <f>D33/$B33-1</f>
        <v/>
      </c>
      <c r="N33" s="20">
        <f>E33/$B33-1</f>
        <v/>
      </c>
      <c r="O33" s="20">
        <f>F33/$B33-1</f>
        <v/>
      </c>
      <c r="P33" s="20">
        <f>G33/$B33-1</f>
        <v/>
      </c>
      <c r="Q33" s="59" t="n">
        <v>3</v>
      </c>
    </row>
    <row r="34">
      <c r="A34" s="33" t="inlineStr">
        <is>
          <t>Hotsite (baixa complexidade)</t>
        </is>
      </c>
      <c r="B34" s="56" t="n">
        <v>17696</v>
      </c>
      <c r="C34" s="56" t="n">
        <v>3312</v>
      </c>
      <c r="D34" s="56" t="n">
        <v>9430.4</v>
      </c>
      <c r="E34" s="56" t="n">
        <v>16522</v>
      </c>
      <c r="F34" s="56" t="n">
        <v>20000</v>
      </c>
      <c r="G34" s="56" t="n">
        <v>12150</v>
      </c>
      <c r="H34" s="57" t="n"/>
      <c r="I34" s="58">
        <f>MIN(E34:G34)</f>
        <v/>
      </c>
      <c r="J34" s="48">
        <f>INDEX($C$2:$G$2,MATCH(I34,C34:G34,0))</f>
        <v/>
      </c>
      <c r="K34" s="49" t="n"/>
      <c r="L34" s="20">
        <f>C34/$B34-1</f>
        <v/>
      </c>
      <c r="M34" s="20">
        <f>D34/$B34-1</f>
        <v/>
      </c>
      <c r="N34" s="20">
        <f>E34/$B34-1</f>
        <v/>
      </c>
      <c r="O34" s="20">
        <f>F34/$B34-1</f>
        <v/>
      </c>
      <c r="P34" s="20">
        <f>G34/$B34-1</f>
        <v/>
      </c>
      <c r="Q34" s="59" t="n">
        <v>0</v>
      </c>
    </row>
    <row r="35">
      <c r="A35" s="33" t="inlineStr">
        <is>
          <t>Hotsite (média complexidade)</t>
        </is>
      </c>
      <c r="B35" s="56" t="n">
        <v>40957</v>
      </c>
      <c r="C35" s="56" t="n">
        <v>10672</v>
      </c>
      <c r="D35" s="56" t="n">
        <v>15195.25</v>
      </c>
      <c r="E35" s="56" t="n">
        <v>26622</v>
      </c>
      <c r="F35" s="56" t="n">
        <v>30000</v>
      </c>
      <c r="G35" s="56" t="n">
        <v>24300</v>
      </c>
      <c r="H35" s="57" t="n"/>
      <c r="I35" s="58">
        <f>MIN(E35:G35)</f>
        <v/>
      </c>
      <c r="J35" s="48">
        <f>INDEX($C$2:$G$2,MATCH(I35,C35:G35,0))</f>
        <v/>
      </c>
      <c r="K35" s="49" t="n"/>
      <c r="L35" s="20">
        <f>C35/$B35-1</f>
        <v/>
      </c>
      <c r="M35" s="20">
        <f>D35/$B35-1</f>
        <v/>
      </c>
      <c r="N35" s="20">
        <f>E35/$B35-1</f>
        <v/>
      </c>
      <c r="O35" s="20">
        <f>F35/$B35-1</f>
        <v/>
      </c>
      <c r="P35" s="20">
        <f>G35/$B35-1</f>
        <v/>
      </c>
      <c r="Q35" s="59" t="n">
        <v>0</v>
      </c>
    </row>
    <row r="36">
      <c r="A36" s="33" t="inlineStr">
        <is>
          <t>Roteiro para vídeo até 60”</t>
        </is>
      </c>
      <c r="B36" s="56" t="n">
        <v>19364</v>
      </c>
      <c r="C36" s="56" t="n">
        <v>552</v>
      </c>
      <c r="D36" s="56" t="n">
        <v>7184.1</v>
      </c>
      <c r="E36" s="56" t="n">
        <v>12587</v>
      </c>
      <c r="F36" s="56" t="n">
        <v>9000</v>
      </c>
      <c r="G36" s="56" t="n">
        <v>7800</v>
      </c>
      <c r="H36" s="57" t="n"/>
      <c r="I36" s="58">
        <f>MIN(E36:G36)</f>
        <v/>
      </c>
      <c r="J36" s="48">
        <f>INDEX($C$2:$G$2,MATCH(I36,C36:G36,0))</f>
        <v/>
      </c>
      <c r="K36" s="49" t="n"/>
      <c r="L36" s="20">
        <f>C36/$B36-1</f>
        <v/>
      </c>
      <c r="M36" s="20">
        <f>D36/$B36-1</f>
        <v/>
      </c>
      <c r="N36" s="20">
        <f>E36/$B36-1</f>
        <v/>
      </c>
      <c r="O36" s="20">
        <f>F36/$B36-1</f>
        <v/>
      </c>
      <c r="P36" s="20">
        <f>G36/$B36-1</f>
        <v/>
      </c>
      <c r="Q36" s="59" t="n">
        <v>1</v>
      </c>
    </row>
    <row r="37">
      <c r="A37" s="33" t="inlineStr">
        <is>
          <t>Roteiro para vídeo acima de 60”</t>
        </is>
      </c>
      <c r="B37" s="56" t="n">
        <v>29043</v>
      </c>
      <c r="C37" s="56" t="n">
        <v>1472</v>
      </c>
      <c r="D37" s="56" t="n">
        <v>10774.75</v>
      </c>
      <c r="E37" s="56" t="n">
        <v>18878</v>
      </c>
      <c r="F37" s="56" t="n">
        <v>18000</v>
      </c>
      <c r="G37" s="56" t="n">
        <v>11000</v>
      </c>
      <c r="H37" s="57" t="n"/>
      <c r="I37" s="58">
        <f>MIN(E37:G37)</f>
        <v/>
      </c>
      <c r="J37" s="48">
        <f>INDEX($C$2:$G$2,MATCH(I37,C37:G37,0))</f>
        <v/>
      </c>
      <c r="K37" s="49" t="n"/>
      <c r="L37" s="20">
        <f>C37/$B37-1</f>
        <v/>
      </c>
      <c r="M37" s="20">
        <f>D37/$B37-1</f>
        <v/>
      </c>
      <c r="N37" s="20">
        <f>E37/$B37-1</f>
        <v/>
      </c>
      <c r="O37" s="20">
        <f>F37/$B37-1</f>
        <v/>
      </c>
      <c r="P37" s="20">
        <f>G37/$B37-1</f>
        <v/>
      </c>
      <c r="Q37" s="59" t="n">
        <v>0</v>
      </c>
    </row>
    <row r="38">
      <c r="A38" s="33" t="inlineStr">
        <is>
          <t>Vídeo institucional até 5 minutos</t>
        </is>
      </c>
      <c r="B38" s="56" t="n">
        <v>29102</v>
      </c>
      <c r="C38" s="56" t="n">
        <v>9568</v>
      </c>
      <c r="D38" s="56" t="n">
        <v>10796.8</v>
      </c>
      <c r="E38" s="56" t="n">
        <v>18916</v>
      </c>
      <c r="F38" s="56" t="n">
        <v>24000</v>
      </c>
      <c r="G38" s="56" t="n">
        <v>60000</v>
      </c>
      <c r="H38" s="57" t="n"/>
      <c r="I38" s="58">
        <f>MIN(E38:G38)</f>
        <v/>
      </c>
      <c r="J38" s="48">
        <f>INDEX($C$2:$G$2,MATCH(I38,C38:G38,0))</f>
        <v/>
      </c>
      <c r="K38" s="49" t="n"/>
      <c r="L38" s="20">
        <f>C38/$B38-1</f>
        <v/>
      </c>
      <c r="M38" s="20">
        <f>D38/$B38-1</f>
        <v/>
      </c>
      <c r="N38" s="20">
        <f>E38/$B38-1</f>
        <v/>
      </c>
      <c r="O38" s="20">
        <f>F38/$B38-1</f>
        <v/>
      </c>
      <c r="P38" s="20">
        <f>G38/$B38-1</f>
        <v/>
      </c>
      <c r="Q38" s="59" t="n">
        <v>12</v>
      </c>
    </row>
    <row r="39">
      <c r="A39" s="33" t="inlineStr">
        <is>
          <t>Filme / VT até 60”</t>
        </is>
      </c>
      <c r="B39" s="56" t="n">
        <v>19364</v>
      </c>
      <c r="C39" s="56" t="n">
        <v>2024</v>
      </c>
      <c r="D39" s="56" t="n">
        <v>7184.1</v>
      </c>
      <c r="E39" s="56" t="n">
        <v>12587</v>
      </c>
      <c r="F39" s="56" t="n">
        <v>16000</v>
      </c>
      <c r="G39" s="56" t="n">
        <v>12800</v>
      </c>
      <c r="H39" s="57" t="n"/>
      <c r="I39" s="58">
        <f>MIN(E39:G39)</f>
        <v/>
      </c>
      <c r="J39" s="48">
        <f>INDEX($C$2:$G$2,MATCH(I39,C39:G39,0))</f>
        <v/>
      </c>
      <c r="K39" s="49" t="n"/>
      <c r="L39" s="20">
        <f>C39/$B39-1</f>
        <v/>
      </c>
      <c r="M39" s="20">
        <f>D39/$B39-1</f>
        <v/>
      </c>
      <c r="N39" s="20">
        <f>E39/$B39-1</f>
        <v/>
      </c>
      <c r="O39" s="20">
        <f>F39/$B39-1</f>
        <v/>
      </c>
      <c r="P39" s="20">
        <f>G39/$B39-1</f>
        <v/>
      </c>
      <c r="Q39" s="59" t="n">
        <v>0</v>
      </c>
    </row>
    <row r="40">
      <c r="A40" s="33" t="inlineStr">
        <is>
          <t>Filme / VT acima de 60”</t>
        </is>
      </c>
      <c r="B40" s="56" t="n">
        <v>29043</v>
      </c>
      <c r="C40" s="56" t="n">
        <v>4784</v>
      </c>
      <c r="D40" s="56" t="n">
        <v>10774.75</v>
      </c>
      <c r="E40" s="56" t="n">
        <v>18878</v>
      </c>
      <c r="F40" s="56" t="n">
        <v>24000</v>
      </c>
      <c r="G40" s="56" t="n">
        <v>14000</v>
      </c>
      <c r="H40" s="57" t="n"/>
      <c r="I40" s="58">
        <f>MIN(E40:G40)</f>
        <v/>
      </c>
      <c r="J40" s="48">
        <f>INDEX($C$2:$G$2,MATCH(I40,C40:G40,0))</f>
        <v/>
      </c>
      <c r="K40" s="49" t="n"/>
      <c r="L40" s="20">
        <f>C40/$B40-1</f>
        <v/>
      </c>
      <c r="M40" s="20">
        <f>D40/$B40-1</f>
        <v/>
      </c>
      <c r="N40" s="20">
        <f>E40/$B40-1</f>
        <v/>
      </c>
      <c r="O40" s="20">
        <f>F40/$B40-1</f>
        <v/>
      </c>
      <c r="P40" s="20">
        <f>G40/$B40-1</f>
        <v/>
      </c>
      <c r="Q40" s="59" t="n">
        <v>0</v>
      </c>
    </row>
    <row r="41">
      <c r="A41" s="33" t="inlineStr">
        <is>
          <t>Vinheta eletrônica</t>
        </is>
      </c>
      <c r="B41" s="56" t="n">
        <v>12093</v>
      </c>
      <c r="C41" s="56" t="n">
        <v>2024</v>
      </c>
      <c r="D41" s="56" t="n">
        <v>4486.3</v>
      </c>
      <c r="E41" s="56" t="n">
        <v>8463</v>
      </c>
      <c r="F41" s="56" t="n">
        <v>11000</v>
      </c>
      <c r="G41" s="56" t="n">
        <v>7800</v>
      </c>
      <c r="H41" s="57" t="n"/>
      <c r="I41" s="58">
        <f>MIN(E41:G41)</f>
        <v/>
      </c>
      <c r="J41" s="48">
        <f>INDEX($C$2:$G$2,MATCH(I41,C41:G41,0))</f>
        <v/>
      </c>
      <c r="K41" s="49" t="n"/>
      <c r="L41" s="20">
        <f>C41/$B41-1</f>
        <v/>
      </c>
      <c r="M41" s="20">
        <f>D41/$B41-1</f>
        <v/>
      </c>
      <c r="N41" s="20">
        <f>E41/$B41-1</f>
        <v/>
      </c>
      <c r="O41" s="20">
        <f>F41/$B41-1</f>
        <v/>
      </c>
      <c r="P41" s="20">
        <f>G41/$B41-1</f>
        <v/>
      </c>
      <c r="Q41" s="59" t="n">
        <v>4</v>
      </c>
    </row>
    <row r="42">
      <c r="A42" s="33" t="inlineStr">
        <is>
          <t>Banner animado / vídeo digital</t>
        </is>
      </c>
      <c r="B42" s="56" t="n">
        <v>5678</v>
      </c>
      <c r="C42" s="56" t="n">
        <v>1288</v>
      </c>
      <c r="D42" s="56" t="n">
        <v>2106.3</v>
      </c>
      <c r="E42" s="56" t="n">
        <v>3691</v>
      </c>
      <c r="F42" s="56" t="n">
        <v>4500</v>
      </c>
      <c r="G42" s="56" t="n">
        <v>4860</v>
      </c>
      <c r="H42" s="57" t="n"/>
      <c r="I42" s="58">
        <f>MIN(E42:G42)</f>
        <v/>
      </c>
      <c r="J42" s="48">
        <f>INDEX($C$2:$G$2,MATCH(I42,C42:G42,0))</f>
        <v/>
      </c>
      <c r="K42" s="49" t="n"/>
      <c r="L42" s="20">
        <f>C42/$B42-1</f>
        <v/>
      </c>
      <c r="M42" s="20">
        <f>D42/$B42-1</f>
        <v/>
      </c>
      <c r="N42" s="20">
        <f>E42/$B42-1</f>
        <v/>
      </c>
      <c r="O42" s="20">
        <f>F42/$B42-1</f>
        <v/>
      </c>
      <c r="P42" s="20">
        <f>G42/$B42-1</f>
        <v/>
      </c>
      <c r="Q42" s="59" t="n">
        <v>2</v>
      </c>
    </row>
    <row r="43">
      <c r="A43" s="33" t="inlineStr">
        <is>
          <t>Motion design (peças digitais)</t>
        </is>
      </c>
      <c r="B43" s="56" t="n">
        <v>13020</v>
      </c>
      <c r="C43" s="56" t="n">
        <v>2208</v>
      </c>
      <c r="D43" s="56" t="n">
        <v>4830.7</v>
      </c>
      <c r="E43" s="56" t="n">
        <v>8463</v>
      </c>
      <c r="F43" s="56" t="n">
        <v>1000</v>
      </c>
      <c r="G43" s="56" t="n">
        <v>5400</v>
      </c>
      <c r="H43" s="57" t="n"/>
      <c r="I43" s="58">
        <f>MIN(E43:G43)</f>
        <v/>
      </c>
      <c r="J43" s="48">
        <f>INDEX($C$2:$G$2,MATCH(I43,C43:G43,0))</f>
        <v/>
      </c>
      <c r="K43" s="49" t="n"/>
      <c r="L43" s="20">
        <f>C43/$B43-1</f>
        <v/>
      </c>
      <c r="M43" s="20">
        <f>D43/$B43-1</f>
        <v/>
      </c>
      <c r="N43" s="20">
        <f>E43/$B43-1</f>
        <v/>
      </c>
      <c r="O43" s="20">
        <f>F43/$B43-1</f>
        <v/>
      </c>
      <c r="P43" s="20">
        <f>G43/$B43-1</f>
        <v/>
      </c>
      <c r="Q43" s="59" t="n">
        <v>0</v>
      </c>
    </row>
    <row r="44">
      <c r="A44" s="33" t="inlineStr">
        <is>
          <t>Projeto de branding</t>
        </is>
      </c>
      <c r="B44" s="56" t="n">
        <v>117535</v>
      </c>
      <c r="C44" s="56" t="n">
        <v>18000</v>
      </c>
      <c r="D44" s="56" t="n">
        <v>43605.45</v>
      </c>
      <c r="E44" s="56" t="n">
        <v>76398</v>
      </c>
      <c r="F44" s="56" t="n">
        <v>85000</v>
      </c>
      <c r="G44" s="56" t="n">
        <v>65000</v>
      </c>
      <c r="H44" s="57" t="n"/>
      <c r="I44" s="58">
        <f>MIN(E44:G44)</f>
        <v/>
      </c>
      <c r="J44" s="48">
        <f>INDEX($C$2:$G$2,MATCH(I44,C44:G44,0))</f>
        <v/>
      </c>
      <c r="K44" s="49" t="n"/>
      <c r="L44" s="20">
        <f>C44/$B44-1</f>
        <v/>
      </c>
      <c r="M44" s="20">
        <f>D44/$B44-1</f>
        <v/>
      </c>
      <c r="N44" s="20">
        <f>E44/$B44-1</f>
        <v/>
      </c>
      <c r="O44" s="20">
        <f>F44/$B44-1</f>
        <v/>
      </c>
      <c r="P44" s="20">
        <f>G44/$B44-1</f>
        <v/>
      </c>
      <c r="Q44" s="59" t="n">
        <v>1</v>
      </c>
    </row>
    <row r="45">
      <c r="A45" s="33" t="inlineStr">
        <is>
          <t>Marca / logotipo</t>
        </is>
      </c>
      <c r="B45" s="56" t="n">
        <v>22729</v>
      </c>
      <c r="C45" s="56" t="n">
        <v>3864</v>
      </c>
      <c r="D45" s="56" t="n">
        <v>8432.549999999999</v>
      </c>
      <c r="E45" s="56" t="n">
        <v>14774</v>
      </c>
      <c r="F45" s="56" t="n">
        <v>15000</v>
      </c>
      <c r="G45" s="56" t="n">
        <v>18000</v>
      </c>
      <c r="H45" s="57" t="n"/>
      <c r="I45" s="58">
        <f>MIN(E45:G45)</f>
        <v/>
      </c>
      <c r="J45" s="48">
        <f>INDEX($C$2:$G$2,MATCH(I45,C45:G45,0))</f>
        <v/>
      </c>
      <c r="K45" s="49" t="n"/>
      <c r="L45" s="20">
        <f>C45/$B45-1</f>
        <v/>
      </c>
      <c r="M45" s="20">
        <f>D45/$B45-1</f>
        <v/>
      </c>
      <c r="N45" s="20">
        <f>E45/$B45-1</f>
        <v/>
      </c>
      <c r="O45" s="20">
        <f>F45/$B45-1</f>
        <v/>
      </c>
      <c r="P45" s="20">
        <f>G45/$B45-1</f>
        <v/>
      </c>
      <c r="Q45" s="59" t="n">
        <v>5</v>
      </c>
    </row>
    <row r="46">
      <c r="A46" s="33" t="inlineStr">
        <is>
          <t>Nome de marca</t>
        </is>
      </c>
      <c r="B46" s="56" t="n">
        <v>27699</v>
      </c>
      <c r="C46" s="56" t="n">
        <v>1014</v>
      </c>
      <c r="D46" s="56" t="n">
        <v>10276.35</v>
      </c>
      <c r="E46" s="56" t="n">
        <v>18004</v>
      </c>
      <c r="F46" s="56" t="n">
        <v>20000</v>
      </c>
      <c r="G46" s="56" t="n">
        <v>22000</v>
      </c>
      <c r="H46" s="57" t="n"/>
      <c r="I46" s="58">
        <f>MIN(E46:G46)</f>
        <v/>
      </c>
      <c r="J46" s="48">
        <f>INDEX($C$2:$G$2,MATCH(I46,C46:G46,0))</f>
        <v/>
      </c>
      <c r="K46" s="49" t="n"/>
      <c r="L46" s="20">
        <f>C46/$B46-1</f>
        <v/>
      </c>
      <c r="M46" s="20">
        <f>D46/$B46-1</f>
        <v/>
      </c>
      <c r="N46" s="20">
        <f>E46/$B46-1</f>
        <v/>
      </c>
      <c r="O46" s="20">
        <f>F46/$B46-1</f>
        <v/>
      </c>
      <c r="P46" s="20">
        <f>G46/$B46-1</f>
        <v/>
      </c>
      <c r="Q46" s="59" t="n">
        <v>0</v>
      </c>
    </row>
    <row r="47">
      <c r="A47" s="33" t="inlineStr">
        <is>
          <t>Manual de identidade visual (por lâmina)</t>
        </is>
      </c>
      <c r="B47" s="56" t="n">
        <v>2598</v>
      </c>
      <c r="C47" s="56" t="n">
        <v>1067.2</v>
      </c>
      <c r="D47" s="56" t="n">
        <v>963.9</v>
      </c>
      <c r="E47" s="56" t="n">
        <v>1689</v>
      </c>
      <c r="F47" s="56" t="n">
        <v>2000</v>
      </c>
      <c r="G47" s="56" t="n">
        <v>1800</v>
      </c>
      <c r="H47" s="57" t="n"/>
      <c r="I47" s="58">
        <f>MIN(E47:G47)</f>
        <v/>
      </c>
      <c r="J47" s="48">
        <f>INDEX($C$2:$G$2,MATCH(I47,C47:G47,0))</f>
        <v/>
      </c>
      <c r="K47" s="49" t="n"/>
      <c r="L47" s="20">
        <f>C47/$B47-1</f>
        <v/>
      </c>
      <c r="M47" s="20">
        <f>D47/$B47-1</f>
        <v/>
      </c>
      <c r="N47" s="20">
        <f>E47/$B47-1</f>
        <v/>
      </c>
      <c r="O47" s="20">
        <f>F47/$B47-1</f>
        <v/>
      </c>
      <c r="P47" s="20">
        <f>G47/$B47-1</f>
        <v/>
      </c>
      <c r="Q47" s="59" t="n">
        <v>0</v>
      </c>
    </row>
    <row r="48">
      <c r="A48" s="33" t="inlineStr">
        <is>
          <t>Programação visual de estande (conceito)</t>
        </is>
      </c>
      <c r="B48" s="56" t="n">
        <v>18296</v>
      </c>
      <c r="C48" s="56" t="n">
        <v>8500</v>
      </c>
      <c r="D48" s="56" t="n">
        <v>6787.9</v>
      </c>
      <c r="E48" s="56" t="n">
        <v>11892</v>
      </c>
      <c r="F48" s="56" t="n">
        <v>15000</v>
      </c>
      <c r="G48" s="56" t="n">
        <v>14700</v>
      </c>
      <c r="H48" s="57" t="n"/>
      <c r="I48" s="58">
        <f>MIN(E48:G48)</f>
        <v/>
      </c>
      <c r="J48" s="48">
        <f>INDEX($C$2:$G$2,MATCH(I48,C48:G48,0))</f>
        <v/>
      </c>
      <c r="K48" s="49" t="n"/>
      <c r="L48" s="20">
        <f>C48/$B48-1</f>
        <v/>
      </c>
      <c r="M48" s="20">
        <f>D48/$B48-1</f>
        <v/>
      </c>
      <c r="N48" s="20">
        <f>E48/$B48-1</f>
        <v/>
      </c>
      <c r="O48" s="20">
        <f>F48/$B48-1</f>
        <v/>
      </c>
      <c r="P48" s="20">
        <f>G48/$B48-1</f>
        <v/>
      </c>
      <c r="Q48" s="59" t="n">
        <v>0</v>
      </c>
    </row>
    <row r="49">
      <c r="A49" s="33" t="inlineStr">
        <is>
          <t>Projeto de sinalização (conceito)</t>
        </is>
      </c>
      <c r="B49" s="56" t="n">
        <v>7858</v>
      </c>
      <c r="C49" s="56" t="n">
        <v>7500</v>
      </c>
      <c r="D49" s="56" t="n">
        <v>4239.2</v>
      </c>
      <c r="E49" s="56" t="n">
        <v>6035</v>
      </c>
      <c r="F49" s="56" t="n">
        <v>7000</v>
      </c>
      <c r="G49" s="56" t="n">
        <v>8800</v>
      </c>
      <c r="H49" s="57" t="n"/>
      <c r="I49" s="58">
        <f>MIN(E49:G49)</f>
        <v/>
      </c>
      <c r="J49" s="48">
        <f>INDEX($C$2:$G$2,MATCH(I49,C49:G49,0))</f>
        <v/>
      </c>
      <c r="K49" s="49" t="n"/>
      <c r="L49" s="20">
        <f>C49/$B49-1</f>
        <v/>
      </c>
      <c r="M49" s="20">
        <f>D49/$B49-1</f>
        <v/>
      </c>
      <c r="N49" s="20">
        <f>E49/$B49-1</f>
        <v/>
      </c>
      <c r="O49" s="20">
        <f>F49/$B49-1</f>
        <v/>
      </c>
      <c r="P49" s="20">
        <f>G49/$B49-1</f>
        <v/>
      </c>
      <c r="Q49" s="59" t="n">
        <v>6</v>
      </c>
    </row>
    <row r="50">
      <c r="A50" s="33" t="inlineStr">
        <is>
          <t>Outdoor / mídia exterior (criação)</t>
        </is>
      </c>
      <c r="B50" s="56" t="n">
        <v>7030</v>
      </c>
      <c r="C50" s="56" t="n">
        <v>2208</v>
      </c>
      <c r="D50" s="56" t="n">
        <v>2608.2</v>
      </c>
      <c r="E50" s="56" t="n">
        <v>4570</v>
      </c>
      <c r="F50" s="56" t="n">
        <v>5500</v>
      </c>
      <c r="G50" s="56" t="n">
        <v>3400</v>
      </c>
      <c r="H50" s="57" t="n"/>
      <c r="I50" s="58">
        <f>MIN(E50:G50)</f>
        <v/>
      </c>
      <c r="J50" s="48">
        <f>INDEX($C$2:$G$2,MATCH(I50,C50:G50,0))</f>
        <v/>
      </c>
      <c r="K50" s="49" t="n"/>
      <c r="L50" s="20">
        <f>C50/$B50-1</f>
        <v/>
      </c>
      <c r="M50" s="20">
        <f>D50/$B50-1</f>
        <v/>
      </c>
      <c r="N50" s="20">
        <f>E50/$B50-1</f>
        <v/>
      </c>
      <c r="O50" s="20">
        <f>F50/$B50-1</f>
        <v/>
      </c>
      <c r="P50" s="20">
        <f>G50/$B50-1</f>
        <v/>
      </c>
      <c r="Q50" s="59" t="n">
        <v>3</v>
      </c>
    </row>
    <row r="51">
      <c r="A51" s="33" t="inlineStr">
        <is>
          <t>Consultoria – diretor (hora)</t>
        </is>
      </c>
      <c r="B51" s="56" t="n">
        <v>1556</v>
      </c>
      <c r="C51" s="56" t="n">
        <v>367</v>
      </c>
      <c r="D51" s="56" t="n">
        <v>577.15</v>
      </c>
      <c r="E51" s="56" t="n">
        <v>1011</v>
      </c>
      <c r="F51" s="56" t="n">
        <v>1000</v>
      </c>
      <c r="G51" s="56" t="n">
        <v>523.26</v>
      </c>
      <c r="H51" s="57" t="n"/>
      <c r="I51" s="58">
        <f>MIN(E51:G51)</f>
        <v/>
      </c>
      <c r="J51" s="48">
        <f>INDEX($C$2:$G$2,MATCH(I51,C51:G51,0))</f>
        <v/>
      </c>
      <c r="K51" s="49" t="n"/>
      <c r="L51" s="20">
        <f>C51/$B51-1</f>
        <v/>
      </c>
      <c r="M51" s="20">
        <f>D51/$B51-1</f>
        <v/>
      </c>
      <c r="N51" s="20">
        <f>E51/$B51-1</f>
        <v/>
      </c>
      <c r="O51" s="20">
        <f>F51/$B51-1</f>
        <v/>
      </c>
      <c r="P51" s="20">
        <f>G51/$B51-1</f>
        <v/>
      </c>
      <c r="Q51" s="59" t="n">
        <v>0</v>
      </c>
    </row>
    <row r="52">
      <c r="A52" s="33" t="inlineStr">
        <is>
          <t>Gerente / supervisor (hora)</t>
        </is>
      </c>
      <c r="B52" s="56" t="n">
        <v>1040</v>
      </c>
      <c r="C52" s="56" t="n">
        <v>263</v>
      </c>
      <c r="D52" s="56" t="n">
        <v>385.7</v>
      </c>
      <c r="E52" s="56" t="n">
        <v>676</v>
      </c>
      <c r="F52" s="56" t="n">
        <v>600</v>
      </c>
      <c r="G52" s="56" t="n">
        <v>361.25</v>
      </c>
      <c r="H52" s="57" t="n"/>
      <c r="I52" s="58">
        <f>MIN(E52:G52)</f>
        <v/>
      </c>
      <c r="J52" s="48">
        <f>INDEX($C$2:$G$2,MATCH(I52,C52:G52,0))</f>
        <v/>
      </c>
      <c r="K52" s="49" t="n"/>
      <c r="L52" s="20">
        <f>C52/$B52-1</f>
        <v/>
      </c>
      <c r="M52" s="20">
        <f>D52/$B52-1</f>
        <v/>
      </c>
      <c r="N52" s="20">
        <f>E52/$B52-1</f>
        <v/>
      </c>
      <c r="O52" s="20">
        <f>F52/$B52-1</f>
        <v/>
      </c>
      <c r="P52" s="20">
        <f>G52/$B52-1</f>
        <v/>
      </c>
      <c r="Q52" s="59" t="n">
        <v>0</v>
      </c>
    </row>
    <row r="53">
      <c r="A53" s="33" t="inlineStr">
        <is>
          <t>Analista / assistente (hora)</t>
        </is>
      </c>
      <c r="B53" s="56" t="n">
        <v>727</v>
      </c>
      <c r="C53" s="56" t="n">
        <v>127</v>
      </c>
      <c r="D53" s="56" t="n">
        <v>269.5</v>
      </c>
      <c r="E53" s="56" t="n">
        <v>473</v>
      </c>
      <c r="F53" s="56" t="n">
        <v>300</v>
      </c>
      <c r="G53" s="56" t="n">
        <v>201.42</v>
      </c>
      <c r="H53" s="57" t="n"/>
      <c r="I53" s="58">
        <f>MIN(E53:G53)</f>
        <v/>
      </c>
      <c r="J53" s="48">
        <f>INDEX($C$2:$G$2,MATCH(I53,C53:G53,0))</f>
        <v/>
      </c>
      <c r="K53" s="49" t="n"/>
      <c r="L53" s="20">
        <f>C53/$B53-1</f>
        <v/>
      </c>
      <c r="M53" s="20">
        <f>D53/$B53-1</f>
        <v/>
      </c>
      <c r="N53" s="20">
        <f>E53/$B53-1</f>
        <v/>
      </c>
      <c r="O53" s="20">
        <f>F53/$B53-1</f>
        <v/>
      </c>
      <c r="P53" s="20">
        <f>G53/$B53-1</f>
        <v/>
      </c>
      <c r="Q53" s="59" t="n">
        <v>0</v>
      </c>
    </row>
    <row r="54">
      <c r="A54" s="33" t="inlineStr">
        <is>
          <t>Pesquisa em banco de imagem / vídeo</t>
        </is>
      </c>
      <c r="B54" s="56" t="n">
        <v>779</v>
      </c>
      <c r="C54" s="56" t="n">
        <v>460</v>
      </c>
      <c r="D54" s="56" t="n">
        <v>288.75</v>
      </c>
      <c r="E54" s="56" t="n">
        <v>506</v>
      </c>
      <c r="F54" s="56" t="n">
        <v>600</v>
      </c>
      <c r="G54" s="56" t="n">
        <v>650</v>
      </c>
      <c r="H54" s="57" t="n"/>
      <c r="I54" s="58">
        <f>MIN(E54:G54)</f>
        <v/>
      </c>
      <c r="J54" s="48">
        <f>INDEX($C$2:$G$2,MATCH(I54,C54:G54,0))</f>
        <v/>
      </c>
      <c r="K54" s="49" t="n"/>
      <c r="L54" s="20">
        <f>C54/$B54-1</f>
        <v/>
      </c>
      <c r="M54" s="20">
        <f>D54/$B54-1</f>
        <v/>
      </c>
      <c r="N54" s="20">
        <f>E54/$B54-1</f>
        <v/>
      </c>
      <c r="O54" s="20">
        <f>F54/$B54-1</f>
        <v/>
      </c>
      <c r="P54" s="20">
        <f>G54/$B54-1</f>
        <v/>
      </c>
      <c r="Q54" s="59" t="n">
        <v>0</v>
      </c>
    </row>
    <row r="55">
      <c r="A55" s="33" t="inlineStr">
        <is>
          <t>Fee mensal</t>
        </is>
      </c>
      <c r="B55" s="56" t="n">
        <v>39000</v>
      </c>
      <c r="C55" s="56" t="n">
        <v>120000</v>
      </c>
      <c r="D55" s="56" t="n">
        <v>68000</v>
      </c>
      <c r="E55" s="56" t="n">
        <v>42070</v>
      </c>
      <c r="F55" s="56" t="n">
        <v>86000</v>
      </c>
      <c r="G55" s="56" t="n">
        <v>139927</v>
      </c>
      <c r="H55" s="57" t="n"/>
      <c r="I55" s="58">
        <f>MIN(E55:G55)</f>
        <v/>
      </c>
      <c r="J55" s="48">
        <f>INDEX($C$2:$G$2,MATCH(I55,C55:G55,0))</f>
        <v/>
      </c>
      <c r="K55" s="49" t="n"/>
      <c r="L55" s="45">
        <f>C55</f>
        <v/>
      </c>
      <c r="M55" s="45">
        <f>D55</f>
        <v/>
      </c>
      <c r="N55" s="45">
        <f>E55</f>
        <v/>
      </c>
      <c r="O55" s="45">
        <f>F55</f>
        <v/>
      </c>
      <c r="P55" s="45">
        <f>G55</f>
        <v/>
      </c>
      <c r="Q55" s="59" t="n">
        <v>12</v>
      </c>
    </row>
    <row r="56">
      <c r="A56" s="22" t="inlineStr">
        <is>
          <t>TOTAL</t>
        </is>
      </c>
      <c r="B56" s="61">
        <f>SUM(B2:B55)</f>
        <v/>
      </c>
      <c r="C56" s="61">
        <f>SUM(C2:C55)</f>
        <v/>
      </c>
      <c r="D56" s="61">
        <f>SUM(D2:D55)</f>
        <v/>
      </c>
      <c r="E56" s="61">
        <f>SUM(E2:E55)</f>
        <v/>
      </c>
      <c r="F56" s="61">
        <f>SUM(F2:F55)</f>
        <v/>
      </c>
      <c r="G56" s="61">
        <f>SUM(G2:G55)</f>
        <v/>
      </c>
      <c r="H56" s="61" t="n"/>
      <c r="I56" s="62">
        <f>SUM(I2:I55)</f>
        <v/>
      </c>
      <c r="J56" s="54" t="n"/>
      <c r="K56" s="54" t="n"/>
      <c r="L56" s="52">
        <f>SUM(L2:L55)</f>
        <v/>
      </c>
      <c r="M56" s="52">
        <f>SUM(M2:M55)</f>
        <v/>
      </c>
      <c r="N56" s="52">
        <f>SUM(N2:N55)</f>
        <v/>
      </c>
      <c r="O56" s="52">
        <f>SUM(O2:O55)</f>
        <v/>
      </c>
      <c r="P56" s="52">
        <f>SUM(P2:P55)</f>
        <v/>
      </c>
    </row>
  </sheetData>
  <conditionalFormatting sqref="L2:P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Bruno Diniz Goncalves</dc:creator>
  <dcterms:created xmlns:dcterms="http://purl.org/dc/terms/" xmlns:xsi="http://www.w3.org/2001/XMLSchema-instance" xsi:type="dcterms:W3CDTF">2026-10-13T17:27:48Z</dcterms:created>
  <dcterms:modified xmlns:dcterms="http://purl.org/dc/terms/" xmlns:xsi="http://www.w3.org/2001/XMLSchema-instance" xsi:type="dcterms:W3CDTF">2026-10-13T19:24:50Z</dcterms:modified>
  <cp:lastModifiedBy>Bruno Diniz Goncalves</cp:lastModifiedBy>
</cp:coreProperties>
</file>