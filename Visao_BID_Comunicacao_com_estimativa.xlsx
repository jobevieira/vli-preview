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Participação" sheetId="1" state="visible" r:id="rId1"/>
    <sheet xmlns:r="http://schemas.openxmlformats.org/officeDocument/2006/relationships" name="Publicidade" sheetId="2" state="visible" r:id="rId2"/>
    <sheet xmlns:r="http://schemas.openxmlformats.org/officeDocument/2006/relationships" name="Conteúdo Institucional" sheetId="3" state="visible" r:id="rId3"/>
    <sheet xmlns:r="http://schemas.openxmlformats.org/officeDocument/2006/relationships" name="Comunicação Digital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_-&quot;R$ &quot;* #,##0.00_-;&quot;-R$ &quot;* #,##0.00_-;_-&quot;R$ &quot;* \-??_-;_-@_-"/>
    <numFmt numFmtId="165" formatCode="#,##0.00_ ;\-#,##0.00\ "/>
  </numFmts>
  <fonts count="9">
    <font>
      <name val="Aptos Narrow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b val="1"/>
      <sz val="10"/>
    </font>
    <font>
      <name val="Arial"/>
      <charset val="1"/>
      <family val="2"/>
      <color theme="1"/>
      <sz val="10"/>
    </font>
    <font>
      <name val="Arial"/>
      <charset val="1"/>
      <family val="2"/>
      <sz val="10"/>
    </font>
    <font>
      <name val="Arial"/>
      <charset val="1"/>
      <family val="2"/>
      <color theme="0"/>
      <sz val="10"/>
    </font>
    <font>
      <name val="Arial"/>
      <family val="2"/>
      <sz val="10"/>
    </font>
  </fonts>
  <fills count="13">
    <fill>
      <patternFill/>
    </fill>
    <fill>
      <patternFill patternType="gray125"/>
    </fill>
    <fill>
      <patternFill patternType="solid">
        <fgColor theme="0" tint="-0.15"/>
        <bgColor rgb="FFD1D1D1"/>
      </patternFill>
    </fill>
    <fill>
      <patternFill patternType="solid">
        <fgColor theme="0"/>
        <bgColor rgb="FFF2F2F2"/>
      </patternFill>
    </fill>
    <fill>
      <patternFill patternType="solid">
        <fgColor rgb="FF92D050"/>
        <bgColor rgb="FF4EA72E"/>
      </patternFill>
    </fill>
    <fill>
      <patternFill patternType="solid">
        <fgColor rgb="FFFFC000"/>
        <bgColor rgb="FFFF9900"/>
      </patternFill>
    </fill>
    <fill>
      <patternFill patternType="solid">
        <fgColor rgb="FFFF0000"/>
        <bgColor rgb="FF993300"/>
      </patternFill>
    </fill>
    <fill>
      <patternFill patternType="solid">
        <fgColor theme="9"/>
        <bgColor rgb="FF808000"/>
      </patternFill>
    </fill>
    <fill>
      <patternFill patternType="solid">
        <fgColor rgb="FFFFFF00"/>
        <bgColor rgb="FFFFFF00"/>
      </patternFill>
    </fill>
    <fill>
      <patternFill patternType="solid">
        <fgColor rgb="FF0070C0"/>
        <bgColor rgb="FF008080"/>
      </patternFill>
    </fill>
    <fill>
      <patternFill patternType="solid">
        <fgColor theme="0" tint="-0.05"/>
        <bgColor rgb="FFFFFFFF"/>
      </patternFill>
    </fill>
    <fill>
      <patternFill patternType="solid">
        <fgColor theme="4" tint="0.7999000000000001"/>
        <bgColor rgb="FFD9D9D9"/>
      </patternFill>
    </fill>
    <fill>
      <patternFill patternType="solid">
        <fgColor theme="2" tint="-0.1"/>
        <bgColor rgb="FFD9D9D9"/>
      </patternFill>
    </fill>
  </fills>
  <borders count="5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dotted"/>
      <right style="dotted"/>
      <top style="dotted"/>
      <bottom style="dotted"/>
      <diagonal/>
    </border>
    <border>
      <left style="thin"/>
      <right/>
      <top/>
      <bottom style="thin"/>
      <diagonal/>
    </border>
    <border>
      <left style="dotted"/>
      <right style="dotted"/>
      <top/>
      <bottom style="dotted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164" fontId="7" fillId="9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4" fontId="7" fillId="9" borderId="2" applyAlignment="1" pivotButton="0" quotePrefix="0" xfId="0">
      <alignment horizontal="center" vertical="center"/>
    </xf>
    <xf numFmtId="164" fontId="7" fillId="9" borderId="2" applyAlignment="1" pivotButton="0" quotePrefix="0" xfId="0">
      <alignment horizontal="center" vertical="center" wrapText="1"/>
    </xf>
    <xf numFmtId="0" fontId="6" fillId="10" borderId="2" applyAlignment="1" pivotButton="0" quotePrefix="0" xfId="0">
      <alignment horizontal="center" vertical="bottom"/>
    </xf>
    <xf numFmtId="165" fontId="0" fillId="3" borderId="2" applyAlignment="1" pivotButton="0" quotePrefix="0" xfId="0">
      <alignment horizontal="right" vertical="bottom"/>
    </xf>
    <xf numFmtId="165" fontId="0" fillId="0" borderId="0" applyAlignment="1" pivotButton="0" quotePrefix="0" xfId="0">
      <alignment horizontal="right" vertical="bottom"/>
    </xf>
    <xf numFmtId="165" fontId="0" fillId="11" borderId="2" applyAlignment="1" pivotButton="0" quotePrefix="0" xfId="0">
      <alignment horizontal="right" vertical="bottom"/>
    </xf>
    <xf numFmtId="164" fontId="0" fillId="11" borderId="2" applyAlignment="1" pivotButton="0" quotePrefix="0" xfId="0">
      <alignment horizontal="center" vertical="bottom"/>
    </xf>
    <xf numFmtId="164" fontId="0" fillId="0" borderId="0" applyAlignment="1" pivotButton="0" quotePrefix="0" xfId="0">
      <alignment horizontal="center" vertical="bottom"/>
    </xf>
    <xf numFmtId="9" fontId="0" fillId="3" borderId="2" applyAlignment="1" pivotButton="0" quotePrefix="0" xfId="0">
      <alignment horizontal="center" vertical="center"/>
    </xf>
    <xf numFmtId="1" fontId="0" fillId="10" borderId="2" applyAlignment="1" pivotButton="0" quotePrefix="0" xfId="0">
      <alignment horizontal="right" vertical="bottom"/>
    </xf>
    <xf numFmtId="165" fontId="0" fillId="12" borderId="2" applyAlignment="1" pivotButton="0" quotePrefix="0" xfId="0">
      <alignment horizontal="right" vertical="bottom"/>
    </xf>
    <xf numFmtId="0" fontId="4" fillId="5" borderId="3" applyAlignment="1" pivotButton="0" quotePrefix="0" xfId="0">
      <alignment horizontal="justify" vertical="center"/>
    </xf>
    <xf numFmtId="165" fontId="4" fillId="2" borderId="2" applyAlignment="1" pivotButton="0" quotePrefix="0" xfId="0">
      <alignment horizontal="right" vertical="center"/>
    </xf>
    <xf numFmtId="165" fontId="4" fillId="2" borderId="4" applyAlignment="1" pivotButton="0" quotePrefix="0" xfId="0">
      <alignment horizontal="right" vertical="center"/>
    </xf>
    <xf numFmtId="164" fontId="4" fillId="0" borderId="0" applyAlignment="1" pivotButton="0" quotePrefix="0" xfId="0">
      <alignment horizontal="center" vertical="center"/>
    </xf>
    <xf numFmtId="4" fontId="0" fillId="10" borderId="2" applyAlignment="1" pivotButton="0" quotePrefix="0" xfId="0">
      <alignment horizontal="right" vertical="bottom"/>
    </xf>
    <xf numFmtId="4" fontId="0" fillId="0" borderId="2" applyAlignment="1" pivotButton="0" quotePrefix="0" xfId="0">
      <alignment horizontal="right" vertical="bottom"/>
    </xf>
    <xf numFmtId="4" fontId="0" fillId="0" borderId="0" applyAlignment="1" pivotButton="0" quotePrefix="0" xfId="0">
      <alignment horizontal="right" vertical="bottom"/>
    </xf>
    <xf numFmtId="4" fontId="0" fillId="11" borderId="2" applyAlignment="1" pivotButton="0" quotePrefix="0" xfId="0">
      <alignment horizontal="right" vertical="bottom"/>
    </xf>
    <xf numFmtId="4" fontId="0" fillId="12" borderId="2" applyAlignment="1" pivotButton="0" quotePrefix="0" xfId="0">
      <alignment horizontal="right" vertical="bottom"/>
    </xf>
    <xf numFmtId="4" fontId="4" fillId="2" borderId="2" applyAlignment="1" pivotButton="0" quotePrefix="0" xfId="0">
      <alignment horizontal="right" vertical="center"/>
    </xf>
    <xf numFmtId="4" fontId="4" fillId="2" borderId="4" applyAlignment="1" pivotButton="0" quotePrefix="0" xfId="0">
      <alignment horizontal="right" vertical="center"/>
    </xf>
    <xf numFmtId="0" fontId="6" fillId="3" borderId="2" applyAlignment="1" pivotButton="0" quotePrefix="0" xfId="0">
      <alignment horizontal="center" vertical="bottom"/>
    </xf>
    <xf numFmtId="165" fontId="0" fillId="3" borderId="2" applyAlignment="1" pivotButton="0" quotePrefix="0" xfId="0">
      <alignment horizontal="center" vertical="bottom"/>
    </xf>
    <xf numFmtId="165" fontId="0" fillId="0" borderId="0" applyAlignment="1" pivotButton="0" quotePrefix="0" xfId="0">
      <alignment horizontal="center" vertical="bottom"/>
    </xf>
    <xf numFmtId="165" fontId="0" fillId="11" borderId="2" applyAlignment="1" pivotButton="0" quotePrefix="0" xfId="0">
      <alignment horizontal="center" vertical="bottom"/>
    </xf>
    <xf numFmtId="165" fontId="0" fillId="12" borderId="2" applyAlignment="1" pivotButton="0" quotePrefix="0" xfId="0">
      <alignment horizontal="center" vertical="bottom"/>
    </xf>
    <xf numFmtId="165" fontId="4" fillId="2" borderId="2" applyAlignment="1" pivotButton="0" quotePrefix="0" xfId="0">
      <alignment horizontal="center" vertical="center"/>
    </xf>
    <xf numFmtId="165" fontId="4" fillId="2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164" fontId="7" fillId="9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4" fontId="7" fillId="9" borderId="2" applyAlignment="1" pivotButton="0" quotePrefix="0" xfId="0">
      <alignment horizontal="center" vertical="center"/>
    </xf>
    <xf numFmtId="164" fontId="7" fillId="9" borderId="2" applyAlignment="1" pivotButton="0" quotePrefix="0" xfId="0">
      <alignment horizontal="center" vertical="center" wrapText="1"/>
    </xf>
    <xf numFmtId="0" fontId="6" fillId="10" borderId="2" applyAlignment="1" pivotButton="0" quotePrefix="0" xfId="0">
      <alignment horizontal="center" vertical="bottom"/>
    </xf>
    <xf numFmtId="165" fontId="0" fillId="3" borderId="2" applyAlignment="1" pivotButton="0" quotePrefix="0" xfId="0">
      <alignment horizontal="right" vertical="bottom"/>
    </xf>
    <xf numFmtId="165" fontId="0" fillId="0" borderId="0" applyAlignment="1" pivotButton="0" quotePrefix="0" xfId="0">
      <alignment horizontal="right" vertical="bottom"/>
    </xf>
    <xf numFmtId="165" fontId="0" fillId="11" borderId="2" applyAlignment="1" pivotButton="0" quotePrefix="0" xfId="0">
      <alignment horizontal="right" vertical="bottom"/>
    </xf>
    <xf numFmtId="164" fontId="0" fillId="11" borderId="2" applyAlignment="1" pivotButton="0" quotePrefix="0" xfId="0">
      <alignment horizontal="center" vertical="bottom"/>
    </xf>
    <xf numFmtId="164" fontId="0" fillId="0" borderId="0" applyAlignment="1" pivotButton="0" quotePrefix="0" xfId="0">
      <alignment horizontal="center" vertical="bottom"/>
    </xf>
    <xf numFmtId="9" fontId="0" fillId="3" borderId="2" applyAlignment="1" pivotButton="0" quotePrefix="0" xfId="0">
      <alignment horizontal="center" vertical="center"/>
    </xf>
    <xf numFmtId="1" fontId="0" fillId="10" borderId="2" applyAlignment="1" pivotButton="0" quotePrefix="0" xfId="0">
      <alignment horizontal="right" vertical="bottom"/>
    </xf>
    <xf numFmtId="165" fontId="0" fillId="12" borderId="2" applyAlignment="1" pivotButton="0" quotePrefix="0" xfId="0">
      <alignment horizontal="right" vertical="bottom"/>
    </xf>
    <xf numFmtId="0" fontId="4" fillId="5" borderId="3" applyAlignment="1" pivotButton="0" quotePrefix="0" xfId="0">
      <alignment horizontal="justify" vertical="center"/>
    </xf>
    <xf numFmtId="165" fontId="4" fillId="2" borderId="2" applyAlignment="1" pivotButton="0" quotePrefix="0" xfId="0">
      <alignment horizontal="right" vertical="center"/>
    </xf>
    <xf numFmtId="165" fontId="4" fillId="2" borderId="4" applyAlignment="1" pivotButton="0" quotePrefix="0" xfId="0">
      <alignment horizontal="right" vertical="center"/>
    </xf>
    <xf numFmtId="164" fontId="4" fillId="0" borderId="0" applyAlignment="1" pivotButton="0" quotePrefix="0" xfId="0">
      <alignment horizontal="center" vertical="center"/>
    </xf>
    <xf numFmtId="4" fontId="0" fillId="10" borderId="2" applyAlignment="1" pivotButton="0" quotePrefix="0" xfId="0">
      <alignment horizontal="right" vertical="bottom"/>
    </xf>
    <xf numFmtId="4" fontId="0" fillId="0" borderId="2" applyAlignment="1" pivotButton="0" quotePrefix="0" xfId="0">
      <alignment horizontal="right" vertical="bottom"/>
    </xf>
    <xf numFmtId="4" fontId="0" fillId="0" borderId="0" applyAlignment="1" pivotButton="0" quotePrefix="0" xfId="0">
      <alignment horizontal="right" vertical="bottom"/>
    </xf>
    <xf numFmtId="4" fontId="0" fillId="11" borderId="2" applyAlignment="1" pivotButton="0" quotePrefix="0" xfId="0">
      <alignment horizontal="right" vertical="bottom"/>
    </xf>
    <xf numFmtId="4" fontId="0" fillId="12" borderId="2" applyAlignment="1" pivotButton="0" quotePrefix="0" xfId="0">
      <alignment horizontal="right" vertical="bottom"/>
    </xf>
    <xf numFmtId="4" fontId="4" fillId="2" borderId="2" applyAlignment="1" pivotButton="0" quotePrefix="0" xfId="0">
      <alignment horizontal="right" vertical="center"/>
    </xf>
    <xf numFmtId="4" fontId="4" fillId="2" borderId="4" applyAlignment="1" pivotButton="0" quotePrefix="0" xfId="0">
      <alignment horizontal="right" vertical="center"/>
    </xf>
    <xf numFmtId="0" fontId="6" fillId="3" borderId="2" applyAlignment="1" pivotButton="0" quotePrefix="0" xfId="0">
      <alignment horizontal="center" vertical="bottom"/>
    </xf>
    <xf numFmtId="165" fontId="0" fillId="3" borderId="2" applyAlignment="1" pivotButton="0" quotePrefix="0" xfId="0">
      <alignment horizontal="center" vertical="bottom"/>
    </xf>
    <xf numFmtId="165" fontId="0" fillId="0" borderId="0" applyAlignment="1" pivotButton="0" quotePrefix="0" xfId="0">
      <alignment horizontal="center" vertical="bottom"/>
    </xf>
    <xf numFmtId="165" fontId="0" fillId="11" borderId="2" applyAlignment="1" pivotButton="0" quotePrefix="0" xfId="0">
      <alignment horizontal="center" vertical="bottom"/>
    </xf>
    <xf numFmtId="165" fontId="0" fillId="12" borderId="2" applyAlignment="1" pivotButton="0" quotePrefix="0" xfId="0">
      <alignment horizontal="center" vertical="bottom"/>
    </xf>
    <xf numFmtId="165" fontId="4" fillId="2" borderId="2" applyAlignment="1" pivotButton="0" quotePrefix="0" xfId="0">
      <alignment horizontal="center" vertical="center"/>
    </xf>
    <xf numFmtId="165" fontId="4" fillId="2" borderId="4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993366"/>
      <rgbColor rgb="FFF2F2F2"/>
      <rgbColor rgb="FFC1E5F5"/>
      <rgbColor rgb="FF660066"/>
      <rgbColor rgb="FFFF8080"/>
      <rgbColor rgb="FF0070C0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4EA72E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Claude</author>
  </authors>
  <commentList>
    <comment ref="Q47" authorId="0" shapeId="0">
      <text>
        <t>Houve 1 manual de marca em 2025, mas o Monday não registra nº de lâminas; lançado 0. Ajustar.</t>
      </text>
    </comment>
    <comment ref="Q51" authorId="0" shapeId="0">
      <text>
        <t>Monday não registra horas; lançado 0.</t>
      </text>
    </comment>
    <comment ref="Q52" authorId="0" shapeId="0">
      <text>
        <t>Monday não registra horas; lançado 0.</t>
      </text>
    </comment>
    <comment ref="Q53" authorId="0" shapeId="0">
      <text>
        <t>Monday não registra horas; lançado 0.</t>
      </text>
    </comment>
  </commentList>
</comments>
</file>

<file path=xl/comments/comment2.xml><?xml version="1.0" encoding="utf-8"?>
<comments xmlns="http://schemas.openxmlformats.org/spreadsheetml/2006/main">
  <authors>
    <author>Claude</author>
  </authors>
  <commentList>
    <comment ref="Q47" authorId="0" shapeId="0">
      <text>
        <t>Houve 1 manual de marca em 2025, mas o Monday não registra nº de lâminas; lançado 0. Ajustar.</t>
      </text>
    </comment>
    <comment ref="Q51" authorId="0" shapeId="0">
      <text>
        <t>Monday não registra horas; lançado 0.</t>
      </text>
    </comment>
    <comment ref="Q52" authorId="0" shapeId="0">
      <text>
        <t>Monday não registra horas; lançado 0.</t>
      </text>
    </comment>
    <comment ref="Q53" authorId="0" shapeId="0">
      <text>
        <t>Monday não registra horas; lançado 0.</t>
      </text>
    </comment>
  </commentList>
</comments>
</file>

<file path=xl/comments/comment3.xml><?xml version="1.0" encoding="utf-8"?>
<comments xmlns="http://schemas.openxmlformats.org/spreadsheetml/2006/main">
  <authors>
    <author>Claude</author>
  </authors>
  <commentList>
    <comment ref="Q47" authorId="0" shapeId="0">
      <text>
        <t>Houve 1 manual de marca em 2025, mas o Monday não registra nº de lâminas; lançado 0. Ajustar.</t>
      </text>
    </comment>
    <comment ref="Q51" authorId="0" shapeId="0">
      <text>
        <t>Monday não registra horas; lançado 0.</t>
      </text>
    </comment>
    <comment ref="Q52" authorId="0" shapeId="0">
      <text>
        <t>Monday não registra horas; lançado 0.</t>
      </text>
    </comment>
    <comment ref="Q53" authorId="0" shapeId="0">
      <text>
        <t>Monday não registra horas; lançado 0.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H7" activeCellId="0" sqref="H7"/>
    </sheetView>
  </sheetViews>
  <sheetFormatPr baseColWidth="8" defaultColWidth="8.53125" defaultRowHeight="15" zeroHeight="0" outlineLevelRow="0"/>
  <cols>
    <col width="22.57" customWidth="1" style="42" min="1" max="1"/>
    <col width="18" customWidth="1" style="42" min="2" max="4"/>
    <col width="15.85" customWidth="1" style="42" min="5" max="5"/>
  </cols>
  <sheetData>
    <row r="1" ht="15" customHeight="1" s="43">
      <c r="A1" s="44" t="inlineStr">
        <is>
          <t>Fornecedores</t>
        </is>
      </c>
      <c r="B1" s="44" t="inlineStr">
        <is>
          <t>Publicidade</t>
        </is>
      </c>
      <c r="C1" s="44" t="inlineStr">
        <is>
          <t>Conteúdo</t>
        </is>
      </c>
      <c r="D1" s="44" t="inlineStr">
        <is>
          <t>Comunicação</t>
        </is>
      </c>
      <c r="E1" s="44" t="inlineStr">
        <is>
          <t>Nº participações</t>
        </is>
      </c>
    </row>
    <row r="2" ht="15" customHeight="1" s="43">
      <c r="A2" s="45" t="inlineStr">
        <is>
          <t>Aproach</t>
        </is>
      </c>
      <c r="B2" s="46" t="inlineStr">
        <is>
          <t>Cotou</t>
        </is>
      </c>
      <c r="C2" s="46" t="inlineStr">
        <is>
          <t>Cotou</t>
        </is>
      </c>
      <c r="D2" s="46" t="inlineStr">
        <is>
          <t>Cotou</t>
        </is>
      </c>
      <c r="E2" s="47">
        <f>COUNTIF(B2:D2,"Cotou")</f>
        <v/>
      </c>
    </row>
    <row r="3" ht="15" customHeight="1" s="43">
      <c r="A3" s="45" t="inlineStr">
        <is>
          <t>Artplan</t>
        </is>
      </c>
      <c r="B3" s="48" t="inlineStr">
        <is>
          <t>Não enviou proposta</t>
        </is>
      </c>
      <c r="C3" s="48" t="inlineStr">
        <is>
          <t>Não enviou proposta</t>
        </is>
      </c>
      <c r="D3" s="48" t="inlineStr">
        <is>
          <t>Não enviou proposta</t>
        </is>
      </c>
      <c r="E3" s="49">
        <f>COUNTIF(B3:D3,"Cotou")</f>
        <v/>
      </c>
    </row>
    <row r="4" ht="15" customHeight="1" s="43">
      <c r="A4" s="45" t="inlineStr">
        <is>
          <t>Atake - 360 Propaganda</t>
        </is>
      </c>
      <c r="B4" s="46" t="inlineStr">
        <is>
          <t>Cotou</t>
        </is>
      </c>
      <c r="C4" s="48" t="inlineStr">
        <is>
          <t>Não enviou proposta</t>
        </is>
      </c>
      <c r="D4" s="46" t="inlineStr">
        <is>
          <t>Cotou</t>
        </is>
      </c>
      <c r="E4" s="50">
        <f>COUNTIF(B4:D4,"Cotou")</f>
        <v/>
      </c>
    </row>
    <row r="5" ht="15" customHeight="1" s="43">
      <c r="A5" s="45" t="inlineStr">
        <is>
          <t>Edelman</t>
        </is>
      </c>
      <c r="B5" s="48" t="inlineStr">
        <is>
          <t>Não enviou proposta</t>
        </is>
      </c>
      <c r="C5" s="48" t="inlineStr">
        <is>
          <t>Não enviou proposta</t>
        </is>
      </c>
      <c r="D5" s="48" t="inlineStr">
        <is>
          <t>Não enviou proposta</t>
        </is>
      </c>
      <c r="E5" s="49">
        <f>COUNTIF(B5:D5,"Cotou")</f>
        <v/>
      </c>
    </row>
    <row r="6" ht="15" customHeight="1" s="43">
      <c r="A6" s="45" t="inlineStr">
        <is>
          <t xml:space="preserve">Imagem </t>
        </is>
      </c>
      <c r="B6" s="46" t="inlineStr">
        <is>
          <t>Cotou</t>
        </is>
      </c>
      <c r="C6" s="46" t="inlineStr">
        <is>
          <t>Cotou</t>
        </is>
      </c>
      <c r="D6" s="46" t="inlineStr">
        <is>
          <t>Cotou</t>
        </is>
      </c>
      <c r="E6" s="47">
        <f>COUNTIF(B6:D6,"Cotou")</f>
        <v/>
      </c>
    </row>
    <row r="7" ht="15" customHeight="1" s="43">
      <c r="A7" s="45" t="inlineStr">
        <is>
          <t>Intra</t>
        </is>
      </c>
      <c r="B7" s="48" t="inlineStr">
        <is>
          <t>Não enviou proposta</t>
        </is>
      </c>
      <c r="C7" s="46" t="inlineStr">
        <is>
          <t>Cotou</t>
        </is>
      </c>
      <c r="D7" s="48" t="inlineStr">
        <is>
          <t>Não enviou proposta</t>
        </is>
      </c>
      <c r="E7" s="51">
        <f>COUNTIF(B7:D7,"Cotou")</f>
        <v/>
      </c>
    </row>
    <row r="8" ht="15" customHeight="1" s="43">
      <c r="A8" s="45" t="inlineStr">
        <is>
          <t>JG</t>
        </is>
      </c>
      <c r="B8" s="46" t="inlineStr">
        <is>
          <t>Cotou</t>
        </is>
      </c>
      <c r="C8" s="46" t="inlineStr">
        <is>
          <t>Cotou</t>
        </is>
      </c>
      <c r="D8" s="46" t="inlineStr">
        <is>
          <t>Cotou</t>
        </is>
      </c>
      <c r="E8" s="47">
        <f>COUNTIF(B8:D8,"Cotou")</f>
        <v/>
      </c>
    </row>
    <row r="9" ht="15" customHeight="1" s="43">
      <c r="A9" s="45" t="inlineStr">
        <is>
          <t>Komuth</t>
        </is>
      </c>
      <c r="B9" s="46" t="inlineStr">
        <is>
          <t>Cotou</t>
        </is>
      </c>
      <c r="C9" s="46" t="inlineStr">
        <is>
          <t>Cotou</t>
        </is>
      </c>
      <c r="D9" s="46" t="inlineStr">
        <is>
          <t>Cotou</t>
        </is>
      </c>
      <c r="E9" s="47">
        <f>COUNTIF(B9:D9,"Cotou")</f>
        <v/>
      </c>
    </row>
    <row r="10" ht="15" customHeight="1" s="43">
      <c r="A10" s="45" t="inlineStr">
        <is>
          <t>Lapis Raro</t>
        </is>
      </c>
      <c r="B10" s="52" t="inlineStr">
        <is>
          <t>Declinou</t>
        </is>
      </c>
      <c r="C10" s="52" t="inlineStr">
        <is>
          <t>Declinou</t>
        </is>
      </c>
      <c r="D10" s="48" t="inlineStr">
        <is>
          <t>Não enviou proposta</t>
        </is>
      </c>
      <c r="E10" s="49">
        <f>COUNTIF(B10:D10,"Cotou")</f>
        <v/>
      </c>
    </row>
    <row r="11" ht="15" customHeight="1" s="43">
      <c r="A11" s="45" t="inlineStr">
        <is>
          <t>Máquina</t>
        </is>
      </c>
      <c r="B11" s="46" t="inlineStr">
        <is>
          <t>Cotou</t>
        </is>
      </c>
      <c r="C11" s="48" t="inlineStr">
        <is>
          <t>Não enviou proposta</t>
        </is>
      </c>
      <c r="D11" s="46" t="inlineStr">
        <is>
          <t>Cotou</t>
        </is>
      </c>
      <c r="E11" s="50">
        <f>COUNTIF(B11:D11,"Cotou")</f>
        <v/>
      </c>
    </row>
    <row r="12" ht="15" customHeight="1" s="43">
      <c r="A12" s="45" t="inlineStr">
        <is>
          <t>New Publicidade</t>
        </is>
      </c>
      <c r="B12" s="48" t="inlineStr">
        <is>
          <t>Não enviou proposta</t>
        </is>
      </c>
      <c r="C12" s="48" t="inlineStr">
        <is>
          <t>Não enviou proposta</t>
        </is>
      </c>
      <c r="D12" s="48" t="inlineStr">
        <is>
          <t>Não enviou proposta</t>
        </is>
      </c>
      <c r="E12" s="49">
        <f>COUNTIF(B12:D12,"Cotou")</f>
        <v/>
      </c>
    </row>
    <row r="13" ht="15" customHeight="1" s="43">
      <c r="A13" s="45" t="inlineStr">
        <is>
          <t>Quintal 22</t>
        </is>
      </c>
      <c r="B13" s="46" t="inlineStr">
        <is>
          <t>Cotou</t>
        </is>
      </c>
      <c r="C13" s="46" t="inlineStr">
        <is>
          <t>Cotou</t>
        </is>
      </c>
      <c r="D13" s="48" t="inlineStr">
        <is>
          <t>Não enviou proposta</t>
        </is>
      </c>
      <c r="E13" s="50">
        <f>COUNTIF(B13:D13,"Cotou")</f>
        <v/>
      </c>
    </row>
    <row r="14" ht="15" customHeight="1" s="43">
      <c r="A14" s="45" t="inlineStr">
        <is>
          <t>Smart</t>
        </is>
      </c>
      <c r="B14" s="46" t="inlineStr">
        <is>
          <t>Cotou</t>
        </is>
      </c>
      <c r="C14" s="46" t="inlineStr">
        <is>
          <t>Cotou</t>
        </is>
      </c>
      <c r="D14" s="46" t="inlineStr">
        <is>
          <t>Cotou</t>
        </is>
      </c>
      <c r="E14" s="47">
        <f>COUNTIF(B14:D14,"Cotou")</f>
        <v/>
      </c>
    </row>
    <row r="15" ht="15" customHeight="1" s="43">
      <c r="A15" s="45" t="inlineStr">
        <is>
          <t>Talent</t>
        </is>
      </c>
      <c r="B15" s="48" t="inlineStr">
        <is>
          <t>Não enviou proposta</t>
        </is>
      </c>
      <c r="C15" s="48" t="inlineStr">
        <is>
          <t>Não enviou proposta</t>
        </is>
      </c>
      <c r="D15" s="48" t="inlineStr">
        <is>
          <t>Não enviou proposta</t>
        </is>
      </c>
      <c r="E15" s="49">
        <f>COUNTIF(B15:D15,"Cotou")</f>
        <v/>
      </c>
    </row>
  </sheetData>
  <conditionalFormatting sqref="B2:D15">
    <cfRule type="dataBar" priority="2">
      <dataBar minLength="10" maxLength="90" showValue="1">
        <cfvo type="min" val="0"/>
        <cfvo type="max" val="0"/>
        <color rgb="FFFF555A"/>
      </dataBar>
    </cfRule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U5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M2" activeCellId="0" sqref="M2"/>
    </sheetView>
  </sheetViews>
  <sheetFormatPr baseColWidth="8" defaultColWidth="8.53125" defaultRowHeight="15" zeroHeight="0" outlineLevelRow="0"/>
  <cols>
    <col width="42.14" customWidth="1" style="42" min="1" max="1"/>
    <col width="12.14" customWidth="1" style="42" min="2" max="2"/>
    <col width="11.14" customWidth="1" style="42" min="3" max="7"/>
    <col width="2.42" customWidth="1" style="42" min="8" max="8"/>
    <col width="11.42" customWidth="1" style="42" min="9" max="9"/>
    <col width="13.42" customWidth="1" style="42" min="10" max="10"/>
    <col width="2.42" customWidth="1" style="42" min="11" max="11"/>
    <col width="10.85" customWidth="1" style="42" min="12" max="16"/>
    <col width="18" customWidth="1" style="42" min="17" max="18"/>
    <col width="12" customWidth="1" style="43" min="18" max="18"/>
    <col width="8.43" customWidth="1" style="42" min="19" max="19"/>
    <col width="8.43" customWidth="1" style="42" min="20" max="20"/>
  </cols>
  <sheetData>
    <row r="1" ht="51" customHeight="1" s="43">
      <c r="A1" s="53" t="inlineStr">
        <is>
          <t>Serviço</t>
        </is>
      </c>
      <c r="B1" s="53" t="inlineStr">
        <is>
          <t>Preço RC</t>
        </is>
      </c>
      <c r="C1" s="53" t="inlineStr">
        <is>
          <t>A</t>
        </is>
      </c>
      <c r="D1" s="53" t="inlineStr">
        <is>
          <t>B</t>
        </is>
      </c>
      <c r="E1" s="53" t="inlineStr">
        <is>
          <t>C</t>
        </is>
      </c>
      <c r="F1" s="53" t="inlineStr">
        <is>
          <t>D</t>
        </is>
      </c>
      <c r="G1" s="53" t="inlineStr">
        <is>
          <t>E</t>
        </is>
      </c>
      <c r="H1" s="54" t="n"/>
      <c r="I1" s="55" t="inlineStr">
        <is>
          <t>Menor Preço</t>
        </is>
      </c>
      <c r="J1" s="56" t="inlineStr">
        <is>
          <t>Fornecedor Menor Preço</t>
        </is>
      </c>
      <c r="K1" s="54" t="n"/>
      <c r="L1" s="53" t="inlineStr">
        <is>
          <t>A</t>
        </is>
      </c>
      <c r="M1" s="53" t="inlineStr">
        <is>
          <t>B</t>
        </is>
      </c>
      <c r="N1" s="53" t="inlineStr">
        <is>
          <t>C</t>
        </is>
      </c>
      <c r="O1" s="53" t="inlineStr">
        <is>
          <t>D</t>
        </is>
      </c>
      <c r="P1" s="53" t="inlineStr">
        <is>
          <t>E</t>
        </is>
      </c>
      <c r="Q1" s="53" t="inlineStr">
        <is>
          <t>Estimativa de volumetria anual (total)</t>
        </is>
      </c>
      <c r="R1" s="53" t="inlineStr">
        <is>
          <t>ExtraFee</t>
        </is>
      </c>
    </row>
    <row r="2" ht="15" customHeight="1" s="43">
      <c r="A2" s="57" t="inlineStr">
        <is>
          <t>Criação de post / card estático (texto e imagem)</t>
        </is>
      </c>
      <c r="B2" s="58" t="n">
        <v>4364</v>
      </c>
      <c r="C2" s="58" t="n">
        <v>1288</v>
      </c>
      <c r="D2" s="58" t="n">
        <v>1619.1</v>
      </c>
      <c r="E2" s="58" t="n">
        <v>2837</v>
      </c>
      <c r="F2" s="58" t="n">
        <v>3500</v>
      </c>
      <c r="G2" s="58" t="n">
        <v>2462</v>
      </c>
      <c r="H2" s="59" t="n"/>
      <c r="I2" s="60" t="n">
        <v>1288</v>
      </c>
      <c r="J2" s="61" t="inlineStr">
        <is>
          <t>A</t>
        </is>
      </c>
      <c r="K2" s="62" t="n"/>
      <c r="L2" s="63" t="n">
        <v>-0.704857928505958</v>
      </c>
      <c r="M2" s="63" t="n">
        <v>-0.628987167736022</v>
      </c>
      <c r="N2" s="63" t="n">
        <v>-0.349908340971586</v>
      </c>
      <c r="O2" s="63" t="n">
        <v>-0.197983501374885</v>
      </c>
      <c r="P2" s="63" t="n">
        <v>-0.435838680109991</v>
      </c>
      <c r="Q2" s="64" t="n">
        <v>511</v>
      </c>
      <c r="R2" s="64" t="n">
        <v>1</v>
      </c>
    </row>
    <row r="3" ht="15" customHeight="1" s="43">
      <c r="A3" s="57" t="inlineStr">
        <is>
          <t>Criação de post / card carrossel / multiproduto</t>
        </is>
      </c>
      <c r="B3" s="58" t="n">
        <v>5866</v>
      </c>
      <c r="C3" s="58" t="n">
        <v>1656</v>
      </c>
      <c r="D3" s="58" t="n">
        <v>2176.3</v>
      </c>
      <c r="E3" s="58" t="n">
        <v>3813</v>
      </c>
      <c r="F3" s="58" t="n">
        <v>4500</v>
      </c>
      <c r="G3" s="58" t="n">
        <v>3162</v>
      </c>
      <c r="H3" s="59" t="n"/>
      <c r="I3" s="60" t="n">
        <v>1656</v>
      </c>
      <c r="J3" s="61" t="inlineStr">
        <is>
          <t>A</t>
        </is>
      </c>
      <c r="K3" s="62" t="n"/>
      <c r="L3" s="63" t="n">
        <v>-0.7176951926355269</v>
      </c>
      <c r="M3" s="63" t="n">
        <v>-0.628997613365155</v>
      </c>
      <c r="N3" s="63" t="n">
        <v>-0.349982952608251</v>
      </c>
      <c r="O3" s="63" t="n">
        <v>-0.232867371292192</v>
      </c>
      <c r="P3" s="63" t="n">
        <v>-0.460961472894647</v>
      </c>
      <c r="Q3" s="64" t="n">
        <v>56</v>
      </c>
      <c r="R3" s="64" t="n">
        <v>0</v>
      </c>
    </row>
    <row r="4" ht="15" customHeight="1" s="43">
      <c r="A4" s="57" t="inlineStr">
        <is>
          <t>Criação de post com animação 2D</t>
        </is>
      </c>
      <c r="B4" s="58" t="n">
        <v>8729</v>
      </c>
      <c r="C4" s="58" t="n">
        <v>3312</v>
      </c>
      <c r="D4" s="58" t="n">
        <v>2590.7</v>
      </c>
      <c r="E4" s="58" t="n">
        <v>5674</v>
      </c>
      <c r="F4" s="58" t="n">
        <v>5500</v>
      </c>
      <c r="G4" s="58" t="n">
        <v>5400</v>
      </c>
      <c r="H4" s="59" t="n"/>
      <c r="I4" s="60" t="n">
        <v>2590.7</v>
      </c>
      <c r="J4" s="61" t="inlineStr">
        <is>
          <t>B</t>
        </is>
      </c>
      <c r="K4" s="62" t="n"/>
      <c r="L4" s="63" t="n">
        <v>-0.620575094512544</v>
      </c>
      <c r="M4" s="63" t="n">
        <v>-0.703207698476343</v>
      </c>
      <c r="N4" s="63" t="n">
        <v>-0.34998281590102</v>
      </c>
      <c r="O4" s="63" t="n">
        <v>-0.369916370718295</v>
      </c>
      <c r="P4" s="63" t="n">
        <v>-0.381372436705236</v>
      </c>
      <c r="Q4" s="64" t="n">
        <v>0</v>
      </c>
      <c r="R4" s="64" t="n">
        <v>0</v>
      </c>
    </row>
    <row r="5" ht="15" customHeight="1" s="43">
      <c r="A5" s="57" t="inlineStr">
        <is>
          <t>Criação de thumbnail para vídeo</t>
        </is>
      </c>
      <c r="B5" s="58" t="n">
        <v>4364</v>
      </c>
      <c r="C5" s="58" t="n">
        <v>552</v>
      </c>
      <c r="D5" s="58" t="n">
        <v>1619.1</v>
      </c>
      <c r="E5" s="58" t="n">
        <v>2837</v>
      </c>
      <c r="F5" s="58" t="n">
        <v>3500</v>
      </c>
      <c r="G5" s="58" t="n">
        <v>1900</v>
      </c>
      <c r="H5" s="59" t="n"/>
      <c r="I5" s="60" t="n">
        <v>552</v>
      </c>
      <c r="J5" s="61" t="inlineStr">
        <is>
          <t>A</t>
        </is>
      </c>
      <c r="K5" s="62" t="n"/>
      <c r="L5" s="63" t="n">
        <v>-0.873510540788268</v>
      </c>
      <c r="M5" s="63" t="n">
        <v>-0.628987167736022</v>
      </c>
      <c r="N5" s="63" t="n">
        <v>-0.349908340971586</v>
      </c>
      <c r="O5" s="63" t="n">
        <v>-0.197983501374885</v>
      </c>
      <c r="P5" s="63" t="n">
        <v>-0.564619615032081</v>
      </c>
      <c r="Q5" s="64" t="n">
        <v>0</v>
      </c>
      <c r="R5" s="64" t="n">
        <v>0</v>
      </c>
    </row>
    <row r="6" ht="15" customHeight="1" s="43">
      <c r="A6" s="57" t="inlineStr">
        <is>
          <t>Criação de post para blog (texto + imagem)</t>
        </is>
      </c>
      <c r="B6" s="58" t="n">
        <v>6546</v>
      </c>
      <c r="C6" s="58" t="n">
        <v>2392</v>
      </c>
      <c r="D6" s="58" t="n">
        <v>2428.65</v>
      </c>
      <c r="E6" s="58" t="n">
        <v>4255</v>
      </c>
      <c r="F6" s="58" t="n">
        <v>4000</v>
      </c>
      <c r="G6" s="58" t="n">
        <v>4540</v>
      </c>
      <c r="H6" s="59" t="n"/>
      <c r="I6" s="60" t="n">
        <v>2392</v>
      </c>
      <c r="J6" s="61" t="inlineStr">
        <is>
          <t>A</t>
        </is>
      </c>
      <c r="K6" s="62" t="n"/>
      <c r="L6" s="63" t="n">
        <v>-0.634586006721662</v>
      </c>
      <c r="M6" s="63" t="n">
        <v>-0.628987167736022</v>
      </c>
      <c r="N6" s="63" t="n">
        <v>-0.349984723495264</v>
      </c>
      <c r="O6" s="63" t="n">
        <v>-0.388939810571341</v>
      </c>
      <c r="P6" s="63" t="n">
        <v>-0.306446684998472</v>
      </c>
      <c r="Q6" s="64" t="n">
        <v>0</v>
      </c>
      <c r="R6" s="64" t="n">
        <v>0</v>
      </c>
    </row>
    <row r="7" ht="15" customHeight="1" s="43">
      <c r="A7" s="57" t="inlineStr">
        <is>
          <t>Produção de texto livre (1.200 toques)</t>
        </is>
      </c>
      <c r="B7" s="58" t="n">
        <v>844</v>
      </c>
      <c r="C7" s="58" t="n">
        <v>552</v>
      </c>
      <c r="D7" s="58" t="n">
        <v>2920.05</v>
      </c>
      <c r="E7" s="58" t="n">
        <v>549</v>
      </c>
      <c r="F7" s="58" t="n">
        <v>4000</v>
      </c>
      <c r="G7" s="58" t="n">
        <v>562.67</v>
      </c>
      <c r="H7" s="59" t="n"/>
      <c r="I7" s="60" t="n">
        <v>549</v>
      </c>
      <c r="J7" s="61" t="inlineStr">
        <is>
          <t>C</t>
        </is>
      </c>
      <c r="K7" s="62" t="n"/>
      <c r="L7" s="63" t="n">
        <v>-0.345971563981043</v>
      </c>
      <c r="M7" s="63" t="n">
        <v>2.45977488151659</v>
      </c>
      <c r="N7" s="63" t="n">
        <v>-0.349526066350711</v>
      </c>
      <c r="O7" s="63" t="n">
        <v>3.739336492891</v>
      </c>
      <c r="P7" s="63" t="n">
        <v>-0.333329383886256</v>
      </c>
      <c r="Q7" s="64" t="n">
        <v>579</v>
      </c>
      <c r="R7" s="64" t="n">
        <v>0</v>
      </c>
    </row>
    <row r="8" ht="15" customHeight="1" s="43">
      <c r="A8" s="57" t="inlineStr">
        <is>
          <t>Branded content / publieditorial</t>
        </is>
      </c>
      <c r="B8" s="58" t="n">
        <v>7946</v>
      </c>
      <c r="C8" s="58" t="n">
        <v>2208</v>
      </c>
      <c r="D8" s="58" t="n">
        <v>2948.05</v>
      </c>
      <c r="E8" s="58" t="n">
        <v>5165</v>
      </c>
      <c r="F8" s="58" t="n">
        <v>6000</v>
      </c>
      <c r="G8" s="65" t="n"/>
      <c r="H8" s="59" t="n"/>
      <c r="I8" s="60" t="n">
        <v>2208</v>
      </c>
      <c r="J8" s="61" t="inlineStr">
        <is>
          <t>A</t>
        </is>
      </c>
      <c r="K8" s="62" t="n"/>
      <c r="L8" s="63" t="n">
        <v>-0.722124339290209</v>
      </c>
      <c r="M8" s="63" t="n">
        <v>-0.628989428643343</v>
      </c>
      <c r="N8" s="63" t="n">
        <v>-0.349987415051598</v>
      </c>
      <c r="O8" s="63" t="n">
        <v>-0.244903095897307</v>
      </c>
      <c r="P8" s="63" t="n">
        <v>-1</v>
      </c>
      <c r="Q8" s="64" t="n">
        <v>0</v>
      </c>
      <c r="R8" s="64" t="n">
        <v>0</v>
      </c>
    </row>
    <row r="9" ht="15" customHeight="1" s="43">
      <c r="A9" s="57" t="inlineStr">
        <is>
          <t>Criação de identidade visual (key visual)</t>
        </is>
      </c>
      <c r="B9" s="58" t="n">
        <v>13554</v>
      </c>
      <c r="C9" s="58" t="n">
        <v>4692</v>
      </c>
      <c r="D9" s="58" t="n">
        <v>5028.45</v>
      </c>
      <c r="E9" s="58" t="n">
        <v>8810</v>
      </c>
      <c r="F9" s="58" t="n">
        <v>11000</v>
      </c>
      <c r="G9" s="58" t="n">
        <v>8800</v>
      </c>
      <c r="H9" s="59" t="n"/>
      <c r="I9" s="60" t="n">
        <v>4692</v>
      </c>
      <c r="J9" s="61" t="inlineStr">
        <is>
          <t>A</t>
        </is>
      </c>
      <c r="K9" s="62" t="n"/>
      <c r="L9" s="63" t="n">
        <v>-0.653829127932714</v>
      </c>
      <c r="M9" s="63" t="n">
        <v>-0.629006197432492</v>
      </c>
      <c r="N9" s="63" t="n">
        <v>-0.350007377895824</v>
      </c>
      <c r="O9" s="63" t="n">
        <v>-0.188431459347794</v>
      </c>
      <c r="P9" s="63" t="n">
        <v>-0.350745167478235</v>
      </c>
      <c r="Q9" s="64" t="n">
        <v>17</v>
      </c>
      <c r="R9" s="64" t="n">
        <v>1</v>
      </c>
    </row>
    <row r="10" ht="15" customHeight="1" s="43">
      <c r="A10" s="57" t="inlineStr">
        <is>
          <t>Criação de tema / conceito de campanha</t>
        </is>
      </c>
      <c r="B10" s="58" t="n">
        <v>27108</v>
      </c>
      <c r="C10" s="58" t="n">
        <v>1840</v>
      </c>
      <c r="D10" s="58" t="n">
        <v>10056.9</v>
      </c>
      <c r="E10" s="58" t="n">
        <v>17620</v>
      </c>
      <c r="F10" s="58" t="n">
        <v>18000</v>
      </c>
      <c r="G10" s="58" t="n">
        <v>25800</v>
      </c>
      <c r="H10" s="59" t="n"/>
      <c r="I10" s="60" t="n">
        <v>1840</v>
      </c>
      <c r="J10" s="61" t="inlineStr">
        <is>
          <t>A</t>
        </is>
      </c>
      <c r="K10" s="62" t="n"/>
      <c r="L10" s="63" t="n">
        <v>-0.9321233584181789</v>
      </c>
      <c r="M10" s="63" t="n">
        <v>-0.629006197432492</v>
      </c>
      <c r="N10" s="63" t="n">
        <v>-0.350007377895824</v>
      </c>
      <c r="O10" s="63" t="n">
        <v>-0.335989375830013</v>
      </c>
      <c r="P10" s="63" t="n">
        <v>-0.0482514386896857</v>
      </c>
      <c r="Q10" s="64" t="n">
        <v>5</v>
      </c>
      <c r="R10" s="64" t="n">
        <v>0</v>
      </c>
    </row>
    <row r="11" ht="15" customHeight="1" s="43">
      <c r="A11" s="57" t="inlineStr">
        <is>
          <t>Slogan</t>
        </is>
      </c>
      <c r="B11" s="58" t="n">
        <v>14545</v>
      </c>
      <c r="C11" s="58" t="n">
        <v>1104</v>
      </c>
      <c r="D11" s="58" t="n">
        <v>5396.3</v>
      </c>
      <c r="E11" s="58" t="n">
        <v>9454</v>
      </c>
      <c r="F11" s="58" t="n">
        <v>9000</v>
      </c>
      <c r="G11" s="58" t="n">
        <v>12000</v>
      </c>
      <c r="H11" s="59" t="n"/>
      <c r="I11" s="60" t="n">
        <v>1104</v>
      </c>
      <c r="J11" s="61" t="inlineStr">
        <is>
          <t>A</t>
        </is>
      </c>
      <c r="K11" s="62" t="n"/>
      <c r="L11" s="63" t="n">
        <v>-0.924097628050877</v>
      </c>
      <c r="M11" s="63" t="n">
        <v>-0.628992781024407</v>
      </c>
      <c r="N11" s="63" t="n">
        <v>-0.350017188037126</v>
      </c>
      <c r="O11" s="63" t="n">
        <v>-0.381230663458233</v>
      </c>
      <c r="P11" s="63" t="n">
        <v>-0.174974217944311</v>
      </c>
      <c r="Q11" s="64" t="n">
        <v>0</v>
      </c>
      <c r="R11" s="64" t="n">
        <v>0</v>
      </c>
    </row>
    <row r="12" ht="15" customHeight="1" s="43">
      <c r="A12" s="57" t="inlineStr">
        <is>
          <t>Moodboard</t>
        </is>
      </c>
      <c r="B12" s="58" t="n">
        <v>11785</v>
      </c>
      <c r="C12" s="58" t="n">
        <v>736</v>
      </c>
      <c r="D12" s="58" t="n">
        <v>4372.2</v>
      </c>
      <c r="E12" s="58" t="n">
        <v>7660</v>
      </c>
      <c r="F12" s="58" t="n">
        <v>8000</v>
      </c>
      <c r="G12" s="58" t="n">
        <v>7890</v>
      </c>
      <c r="H12" s="59" t="n"/>
      <c r="I12" s="60" t="n">
        <v>736</v>
      </c>
      <c r="J12" s="61" t="inlineStr">
        <is>
          <t>A</t>
        </is>
      </c>
      <c r="K12" s="62" t="n"/>
      <c r="L12" s="63" t="n">
        <v>-0.937547730165465</v>
      </c>
      <c r="M12" s="63" t="n">
        <v>-0.629002969876962</v>
      </c>
      <c r="N12" s="63" t="n">
        <v>-0.350021213406873</v>
      </c>
      <c r="O12" s="63" t="n">
        <v>-0.321170980059398</v>
      </c>
      <c r="P12" s="63" t="n">
        <v>-0.330504879083581</v>
      </c>
      <c r="Q12" s="64" t="n">
        <v>0</v>
      </c>
      <c r="R12" s="64" t="n">
        <v>0</v>
      </c>
    </row>
    <row r="13" ht="15" customHeight="1" s="43">
      <c r="A13" s="57" t="inlineStr">
        <is>
          <t>Planejamento de comunicação integrada</t>
        </is>
      </c>
      <c r="B13" s="58" t="n">
        <v>117535</v>
      </c>
      <c r="C13" s="58" t="n">
        <v>35000</v>
      </c>
      <c r="D13" s="58" t="n">
        <v>10901.45</v>
      </c>
      <c r="E13" s="58" t="n">
        <v>19100</v>
      </c>
      <c r="F13" s="58" t="n">
        <v>18000</v>
      </c>
      <c r="G13" s="58" t="n">
        <v>25000</v>
      </c>
      <c r="H13" s="59" t="n"/>
      <c r="I13" s="60" t="n">
        <v>10901.45</v>
      </c>
      <c r="J13" s="61" t="inlineStr">
        <is>
          <t>B</t>
        </is>
      </c>
      <c r="K13" s="62" t="n"/>
      <c r="L13" s="63" t="n">
        <v>-0.702216361083933</v>
      </c>
      <c r="M13" s="63" t="n">
        <v>-0.907249329986812</v>
      </c>
      <c r="N13" s="63" t="n">
        <v>-0.837495214191517</v>
      </c>
      <c r="O13" s="63" t="n">
        <v>-0.846854128557451</v>
      </c>
      <c r="P13" s="63" t="n">
        <v>-0.787297400774238</v>
      </c>
      <c r="Q13" s="64" t="n">
        <v>1</v>
      </c>
      <c r="R13" s="64" t="n">
        <v>0</v>
      </c>
    </row>
    <row r="14" ht="15" customHeight="1" s="43">
      <c r="A14" s="57" t="inlineStr">
        <is>
          <t>Planejamento de campanha</t>
        </is>
      </c>
      <c r="B14" s="58" t="n">
        <v>58768</v>
      </c>
      <c r="C14" s="58" t="n">
        <v>4416</v>
      </c>
      <c r="D14" s="58" t="n">
        <v>5450.55</v>
      </c>
      <c r="E14" s="58" t="n">
        <v>9550</v>
      </c>
      <c r="F14" s="58" t="n">
        <v>10000</v>
      </c>
      <c r="G14" s="58" t="n">
        <v>12800</v>
      </c>
      <c r="H14" s="59" t="n"/>
      <c r="I14" s="60" t="n">
        <v>4416</v>
      </c>
      <c r="J14" s="61" t="inlineStr">
        <is>
          <t>A</t>
        </is>
      </c>
      <c r="K14" s="62" t="n"/>
      <c r="L14" s="63" t="n">
        <v>-0.924857065069426</v>
      </c>
      <c r="M14" s="63" t="n">
        <v>-0.907253096923496</v>
      </c>
      <c r="N14" s="63" t="n">
        <v>-0.837496596787367</v>
      </c>
      <c r="O14" s="63" t="n">
        <v>-0.829839368363735</v>
      </c>
      <c r="P14" s="63" t="n">
        <v>-0.782194391505581</v>
      </c>
      <c r="Q14" s="64" t="n">
        <v>8</v>
      </c>
      <c r="R14" s="64" t="n">
        <v>1</v>
      </c>
    </row>
    <row r="15" ht="15" customHeight="1" s="43">
      <c r="A15" s="57" t="inlineStr">
        <is>
          <t>Planejamento de mídia</t>
        </is>
      </c>
      <c r="B15" s="58" t="n">
        <v>41136</v>
      </c>
      <c r="C15" s="58" t="n">
        <v>15000</v>
      </c>
      <c r="D15" s="58" t="n">
        <v>3816.05</v>
      </c>
      <c r="E15" s="58" t="n">
        <v>6686</v>
      </c>
      <c r="F15" s="58" t="n">
        <v>8000</v>
      </c>
      <c r="G15" s="58" t="n">
        <v>8760</v>
      </c>
      <c r="H15" s="59" t="n"/>
      <c r="I15" s="60" t="n">
        <v>3816.05</v>
      </c>
      <c r="J15" s="61" t="inlineStr">
        <is>
          <t>B</t>
        </is>
      </c>
      <c r="K15" s="62" t="n"/>
      <c r="L15" s="63" t="n">
        <v>-0.635355892648775</v>
      </c>
      <c r="M15" s="63" t="n">
        <v>-0.907233323609491</v>
      </c>
      <c r="N15" s="63" t="n">
        <v>-0.837465966549981</v>
      </c>
      <c r="O15" s="63" t="n">
        <v>-0.805523142746013</v>
      </c>
      <c r="P15" s="63" t="n">
        <v>-0.787047841306884</v>
      </c>
      <c r="Q15" s="64" t="n">
        <v>17</v>
      </c>
      <c r="R15" s="64" t="n">
        <v>0</v>
      </c>
    </row>
    <row r="16" ht="15" customHeight="1" s="43">
      <c r="A16" s="57" t="inlineStr">
        <is>
          <t>Planejamento de ação promocional</t>
        </is>
      </c>
      <c r="B16" s="58" t="n">
        <v>41136</v>
      </c>
      <c r="C16" s="58" t="n">
        <v>5500</v>
      </c>
      <c r="D16" s="58" t="n">
        <v>15261.75</v>
      </c>
      <c r="E16" s="58" t="n">
        <v>26738</v>
      </c>
      <c r="F16" s="58" t="n">
        <v>28000</v>
      </c>
      <c r="G16" s="58" t="n">
        <v>37258</v>
      </c>
      <c r="H16" s="59" t="n"/>
      <c r="I16" s="60" t="n">
        <v>5500</v>
      </c>
      <c r="J16" s="61" t="inlineStr">
        <is>
          <t>A</t>
        </is>
      </c>
      <c r="K16" s="62" t="n"/>
      <c r="L16" s="63" t="n">
        <v>-0.866297160637884</v>
      </c>
      <c r="M16" s="63" t="n">
        <v>-0.628992852975496</v>
      </c>
      <c r="N16" s="63" t="n">
        <v>-0.350009723842863</v>
      </c>
      <c r="O16" s="63" t="n">
        <v>-0.319330999611046</v>
      </c>
      <c r="P16" s="63" t="n">
        <v>-0.0942726565538701</v>
      </c>
      <c r="Q16" s="64" t="n">
        <v>0</v>
      </c>
      <c r="R16" s="64" t="n">
        <v>0</v>
      </c>
    </row>
    <row r="17" ht="15" customHeight="1" s="43">
      <c r="A17" s="57" t="inlineStr">
        <is>
          <t>Planejamento de eventos / feiras</t>
        </is>
      </c>
      <c r="B17" s="58" t="n">
        <v>58766</v>
      </c>
      <c r="C17" s="58" t="n">
        <v>6500</v>
      </c>
      <c r="D17" s="58" t="n">
        <v>21802.2</v>
      </c>
      <c r="E17" s="58" t="n">
        <v>38198</v>
      </c>
      <c r="F17" s="58" t="n">
        <v>35000</v>
      </c>
      <c r="G17" s="58" t="n">
        <v>53592</v>
      </c>
      <c r="H17" s="59" t="n"/>
      <c r="I17" s="60" t="n">
        <v>6500</v>
      </c>
      <c r="J17" s="61" t="inlineStr">
        <is>
          <t>A</t>
        </is>
      </c>
      <c r="K17" s="62" t="n"/>
      <c r="L17" s="63" t="n">
        <v>-0.889391825205051</v>
      </c>
      <c r="M17" s="63" t="n">
        <v>-0.628999761767008</v>
      </c>
      <c r="N17" s="63" t="n">
        <v>-0.349998298335772</v>
      </c>
      <c r="O17" s="63" t="n">
        <v>-0.404417520334888</v>
      </c>
      <c r="P17" s="63" t="n">
        <v>-0.08804410713677981</v>
      </c>
      <c r="Q17" s="64" t="n">
        <v>1</v>
      </c>
      <c r="R17" s="64" t="n">
        <v>0</v>
      </c>
    </row>
    <row r="18" ht="15" customHeight="1" s="43">
      <c r="A18" s="57" t="inlineStr">
        <is>
          <t>Planejamento de brindes</t>
        </is>
      </c>
      <c r="B18" s="58" t="n">
        <v>29383</v>
      </c>
      <c r="C18" s="58" t="n">
        <v>2500</v>
      </c>
      <c r="D18" s="58" t="n">
        <v>10901.45</v>
      </c>
      <c r="E18" s="58" t="n">
        <v>19099</v>
      </c>
      <c r="F18" s="58" t="n">
        <v>7000</v>
      </c>
      <c r="G18" s="58" t="n">
        <v>26173</v>
      </c>
      <c r="H18" s="59" t="n"/>
      <c r="I18" s="60" t="n">
        <v>2500</v>
      </c>
      <c r="J18" s="61" t="inlineStr">
        <is>
          <t>A</t>
        </is>
      </c>
      <c r="K18" s="62" t="n"/>
      <c r="L18" s="63" t="n">
        <v>-0.9149167886192699</v>
      </c>
      <c r="M18" s="63" t="n">
        <v>-0.628987850117415</v>
      </c>
      <c r="N18" s="63" t="n">
        <v>-0.349998298335772</v>
      </c>
      <c r="O18" s="63" t="n">
        <v>-0.761767008133955</v>
      </c>
      <c r="P18" s="63" t="n">
        <v>-0.109246843412858</v>
      </c>
      <c r="Q18" s="64" t="n">
        <v>0</v>
      </c>
      <c r="R18" s="64" t="n">
        <v>0</v>
      </c>
    </row>
    <row r="19" ht="15" customHeight="1" s="43">
      <c r="A19" s="57" t="inlineStr">
        <is>
          <t>Planejamento para redes sociais</t>
        </is>
      </c>
      <c r="B19" s="58" t="n">
        <v>25754</v>
      </c>
      <c r="C19" s="58" t="n">
        <v>4416</v>
      </c>
      <c r="D19" s="58" t="n">
        <v>1359.4</v>
      </c>
      <c r="E19" s="58" t="n">
        <v>16740</v>
      </c>
      <c r="F19" s="58" t="n">
        <v>18000</v>
      </c>
      <c r="G19" s="58" t="n">
        <v>13400</v>
      </c>
      <c r="H19" s="59" t="n"/>
      <c r="I19" s="60" t="n">
        <v>1359.4</v>
      </c>
      <c r="J19" s="61" t="inlineStr">
        <is>
          <t>B</t>
        </is>
      </c>
      <c r="K19" s="62" t="n"/>
      <c r="L19" s="63" t="n">
        <v>-0.828531490253941</v>
      </c>
      <c r="M19" s="63" t="n">
        <v>-0.9472159664518131</v>
      </c>
      <c r="N19" s="63" t="n">
        <v>-0.350003882891978</v>
      </c>
      <c r="O19" s="63" t="n">
        <v>-0.301079443969869</v>
      </c>
      <c r="P19" s="63" t="n">
        <v>-0.479692474955347</v>
      </c>
      <c r="Q19" s="64" t="n">
        <v>10</v>
      </c>
      <c r="R19" s="64" t="n">
        <v>0</v>
      </c>
    </row>
    <row r="20" ht="15" customHeight="1" s="43">
      <c r="A20" s="57" t="inlineStr">
        <is>
          <t>Diagnóstico da presença digital</t>
        </is>
      </c>
      <c r="B20" s="58" t="n">
        <v>20767</v>
      </c>
      <c r="C20" s="58" t="n">
        <v>367</v>
      </c>
      <c r="D20" s="58" t="n">
        <v>7704.55</v>
      </c>
      <c r="E20" s="58" t="n">
        <v>13499</v>
      </c>
      <c r="F20" s="58" t="n">
        <v>15000</v>
      </c>
      <c r="G20" s="58" t="n">
        <v>19500</v>
      </c>
      <c r="H20" s="59" t="n"/>
      <c r="I20" s="60" t="n">
        <v>367</v>
      </c>
      <c r="J20" s="61" t="inlineStr">
        <is>
          <t>A</t>
        </is>
      </c>
      <c r="K20" s="62" t="n"/>
      <c r="L20" s="63" t="n">
        <v>-0.982327731497087</v>
      </c>
      <c r="M20" s="63" t="n">
        <v>-0.629000337073241</v>
      </c>
      <c r="N20" s="63" t="n">
        <v>-0.349978331005923</v>
      </c>
      <c r="O20" s="63" t="n">
        <v>-0.277700197428613</v>
      </c>
      <c r="P20" s="63" t="n">
        <v>-0.0610102566571965</v>
      </c>
      <c r="Q20" s="64" t="n">
        <v>1</v>
      </c>
      <c r="R20" s="64" t="n">
        <v>0</v>
      </c>
    </row>
    <row r="21" ht="15" customHeight="1" s="43">
      <c r="A21" s="57" t="inlineStr">
        <is>
          <t>Análise estratégica de dados</t>
        </is>
      </c>
      <c r="B21" s="58" t="n">
        <v>14692</v>
      </c>
      <c r="C21" s="58" t="n">
        <v>5500</v>
      </c>
      <c r="D21" s="58" t="n">
        <v>5450.55</v>
      </c>
      <c r="E21" s="58" t="n">
        <v>9550</v>
      </c>
      <c r="F21" s="58" t="n">
        <v>11000</v>
      </c>
      <c r="G21" s="58" t="n">
        <v>4200</v>
      </c>
      <c r="H21" s="59" t="n"/>
      <c r="I21" s="60" t="n">
        <v>4200</v>
      </c>
      <c r="J21" s="61" t="inlineStr">
        <is>
          <t>E</t>
        </is>
      </c>
      <c r="K21" s="62" t="n"/>
      <c r="L21" s="63" t="n">
        <v>-0.625646610400218</v>
      </c>
      <c r="M21" s="63" t="n">
        <v>-0.629012387693983</v>
      </c>
      <c r="N21" s="63" t="n">
        <v>-0.349986387149469</v>
      </c>
      <c r="O21" s="63" t="n">
        <v>-0.251293220800436</v>
      </c>
      <c r="P21" s="63" t="n">
        <v>-0.714130138851076</v>
      </c>
      <c r="Q21" s="64" t="n">
        <v>4</v>
      </c>
      <c r="R21" s="64" t="n">
        <v>0</v>
      </c>
    </row>
    <row r="22" ht="15" customHeight="1" s="43">
      <c r="A22" s="57" t="inlineStr">
        <is>
          <t>Relatório de campanha</t>
        </is>
      </c>
      <c r="B22" s="58" t="n">
        <v>11455</v>
      </c>
      <c r="C22" s="58" t="n">
        <v>4048</v>
      </c>
      <c r="D22" s="58" t="n">
        <v>4250.05</v>
      </c>
      <c r="E22" s="58" t="n">
        <v>7446</v>
      </c>
      <c r="F22" s="58" t="n">
        <v>8000</v>
      </c>
      <c r="G22" s="58" t="n">
        <v>2800</v>
      </c>
      <c r="H22" s="59" t="n"/>
      <c r="I22" s="60" t="n">
        <v>2800</v>
      </c>
      <c r="J22" s="61" t="inlineStr">
        <is>
          <t>E</t>
        </is>
      </c>
      <c r="K22" s="62" t="n"/>
      <c r="L22" s="63" t="n">
        <v>-0.6466171977302489</v>
      </c>
      <c r="M22" s="63" t="n">
        <v>-0.6289786119598429</v>
      </c>
      <c r="N22" s="63" t="n">
        <v>-0.349978175469227</v>
      </c>
      <c r="O22" s="63" t="n">
        <v>-0.301615015277172</v>
      </c>
      <c r="P22" s="63" t="n">
        <v>-0.75556525534701</v>
      </c>
      <c r="Q22" s="64" t="n">
        <v>4</v>
      </c>
      <c r="R22" s="64" t="n">
        <v>0</v>
      </c>
    </row>
    <row r="23" ht="15" customHeight="1" s="43">
      <c r="A23" s="57" t="inlineStr">
        <is>
          <t>Monitoramento e relatório mensal</t>
        </is>
      </c>
      <c r="B23" s="58" t="n">
        <v>6615</v>
      </c>
      <c r="C23" s="58" t="n">
        <v>4500</v>
      </c>
      <c r="D23" s="58" t="n">
        <v>2454.2</v>
      </c>
      <c r="E23" s="58" t="n">
        <v>4300</v>
      </c>
      <c r="F23" s="58" t="n">
        <v>5000</v>
      </c>
      <c r="G23" s="58" t="n">
        <v>10900</v>
      </c>
      <c r="H23" s="59" t="n"/>
      <c r="I23" s="60" t="n">
        <v>2454.2</v>
      </c>
      <c r="J23" s="61" t="inlineStr">
        <is>
          <t>B</t>
        </is>
      </c>
      <c r="K23" s="62" t="n"/>
      <c r="L23" s="63" t="n">
        <v>-0.319727891156463</v>
      </c>
      <c r="M23" s="63" t="n">
        <v>-0.628994708994709</v>
      </c>
      <c r="N23" s="63" t="n">
        <v>-0.349962207105064</v>
      </c>
      <c r="O23" s="63" t="n">
        <v>-0.244142101284958</v>
      </c>
      <c r="P23" s="63" t="n">
        <v>0.647770219198791</v>
      </c>
      <c r="Q23" s="64" t="n">
        <v>12</v>
      </c>
      <c r="R23" s="64" t="n">
        <v>0</v>
      </c>
    </row>
    <row r="24" ht="15" customHeight="1" s="43">
      <c r="A24" s="57" t="inlineStr">
        <is>
          <t>Banner / cartaz / pôster (criação)</t>
        </is>
      </c>
      <c r="B24" s="58" t="n">
        <v>5715</v>
      </c>
      <c r="C24" s="58" t="n">
        <v>1104</v>
      </c>
      <c r="D24" s="58" t="n">
        <v>2120.3</v>
      </c>
      <c r="E24" s="58" t="n">
        <v>3715</v>
      </c>
      <c r="F24" s="58" t="n">
        <v>4000</v>
      </c>
      <c r="G24" s="58" t="n">
        <v>2187</v>
      </c>
      <c r="H24" s="59" t="n"/>
      <c r="I24" s="60" t="n">
        <v>1104</v>
      </c>
      <c r="J24" s="61" t="inlineStr">
        <is>
          <t>A</t>
        </is>
      </c>
      <c r="K24" s="62" t="n"/>
      <c r="L24" s="63" t="n">
        <v>-0.806824146981627</v>
      </c>
      <c r="M24" s="63" t="n">
        <v>-0.628993875765529</v>
      </c>
      <c r="N24" s="63" t="n">
        <v>-0.349956255468067</v>
      </c>
      <c r="O24" s="63" t="n">
        <v>-0.300087489063867</v>
      </c>
      <c r="P24" s="63" t="n">
        <v>-0.6173228346456689</v>
      </c>
      <c r="Q24" s="64" t="n">
        <v>35</v>
      </c>
      <c r="R24" s="64" t="n">
        <v>1</v>
      </c>
    </row>
    <row r="25" ht="15" customHeight="1" s="43">
      <c r="A25" s="57" t="inlineStr">
        <is>
          <t>Flyer / volante (criação)</t>
        </is>
      </c>
      <c r="B25" s="58" t="n">
        <v>4572</v>
      </c>
      <c r="C25" s="58" t="n">
        <v>1656</v>
      </c>
      <c r="D25" s="58" t="n">
        <v>1696.1</v>
      </c>
      <c r="E25" s="58" t="n">
        <v>2972</v>
      </c>
      <c r="F25" s="58" t="n">
        <v>3500</v>
      </c>
      <c r="G25" s="58" t="n">
        <v>1700</v>
      </c>
      <c r="H25" s="59" t="n"/>
      <c r="I25" s="60" t="n">
        <v>1656</v>
      </c>
      <c r="J25" s="61" t="inlineStr">
        <is>
          <t>A</t>
        </is>
      </c>
      <c r="K25" s="62" t="n"/>
      <c r="L25" s="63" t="n">
        <v>-0.637795275590551</v>
      </c>
      <c r="M25" s="63" t="n">
        <v>-0.629024496937883</v>
      </c>
      <c r="N25" s="63" t="n">
        <v>-0.349956255468067</v>
      </c>
      <c r="O25" s="63" t="n">
        <v>-0.234470691163605</v>
      </c>
      <c r="P25" s="63" t="n">
        <v>-0.628171478565179</v>
      </c>
      <c r="Q25" s="64" t="n">
        <v>13</v>
      </c>
      <c r="R25" s="64" t="n">
        <v>0</v>
      </c>
    </row>
    <row r="26" ht="15" customHeight="1" s="43">
      <c r="A26" s="57" t="inlineStr">
        <is>
          <t>Folder (criação)</t>
        </is>
      </c>
      <c r="B26" s="58" t="n">
        <v>8868</v>
      </c>
      <c r="C26" s="58" t="n">
        <v>3496</v>
      </c>
      <c r="D26" s="58" t="n">
        <v>3290</v>
      </c>
      <c r="E26" s="58" t="n">
        <v>5764</v>
      </c>
      <c r="F26" s="58" t="n">
        <v>7000</v>
      </c>
      <c r="G26" s="58" t="n">
        <v>3645</v>
      </c>
      <c r="H26" s="59" t="n"/>
      <c r="I26" s="60" t="n">
        <v>3290</v>
      </c>
      <c r="J26" s="61" t="inlineStr">
        <is>
          <t>B</t>
        </is>
      </c>
      <c r="K26" s="62" t="n"/>
      <c r="L26" s="63" t="n">
        <v>-0.605773567884529</v>
      </c>
      <c r="M26" s="63" t="n">
        <v>-0.629003157419937</v>
      </c>
      <c r="N26" s="63" t="n">
        <v>-0.350022552999549</v>
      </c>
      <c r="O26" s="63" t="n">
        <v>-0.2106450157871</v>
      </c>
      <c r="P26" s="63" t="n">
        <v>-0.588971583220568</v>
      </c>
      <c r="Q26" s="64" t="n">
        <v>15</v>
      </c>
      <c r="R26" s="64" t="n">
        <v>1</v>
      </c>
    </row>
    <row r="27" ht="15" customHeight="1" s="43">
      <c r="A27" s="57" t="inlineStr">
        <is>
          <t>Mala direta</t>
        </is>
      </c>
      <c r="B27" s="58" t="n">
        <v>7122</v>
      </c>
      <c r="C27" s="58" t="n">
        <v>1840</v>
      </c>
      <c r="D27" s="58" t="n">
        <v>2642.15</v>
      </c>
      <c r="E27" s="58" t="n">
        <v>4629</v>
      </c>
      <c r="F27" s="58" t="n">
        <v>5000</v>
      </c>
      <c r="G27" s="58" t="n">
        <v>6800</v>
      </c>
      <c r="H27" s="59" t="n"/>
      <c r="I27" s="60" t="n">
        <v>1840</v>
      </c>
      <c r="J27" s="61" t="inlineStr">
        <is>
          <t>A</t>
        </is>
      </c>
      <c r="K27" s="62" t="n"/>
      <c r="L27" s="63" t="n">
        <v>-0.741645605167088</v>
      </c>
      <c r="M27" s="63" t="n">
        <v>-0.629015725919686</v>
      </c>
      <c r="N27" s="63" t="n">
        <v>-0.350042122999158</v>
      </c>
      <c r="O27" s="63" t="n">
        <v>-0.297950014041</v>
      </c>
      <c r="P27" s="63" t="n">
        <v>-0.0452120190957597</v>
      </c>
      <c r="Q27" s="64" t="n">
        <v>0</v>
      </c>
      <c r="R27" s="64" t="n">
        <v>0</v>
      </c>
    </row>
    <row r="28" ht="15" customHeight="1" s="43">
      <c r="A28" s="57" t="inlineStr">
        <is>
          <t>Email marketing (imagem)</t>
        </is>
      </c>
      <c r="B28" s="58" t="n">
        <v>3824</v>
      </c>
      <c r="C28" s="58" t="n">
        <v>1104</v>
      </c>
      <c r="D28" s="58" t="n">
        <v>1418.9</v>
      </c>
      <c r="E28" s="58" t="n">
        <v>2486</v>
      </c>
      <c r="F28" s="58" t="n">
        <v>2500</v>
      </c>
      <c r="G28" s="58" t="n">
        <v>2430</v>
      </c>
      <c r="H28" s="59" t="n"/>
      <c r="I28" s="60" t="n">
        <v>1104</v>
      </c>
      <c r="J28" s="61" t="inlineStr">
        <is>
          <t>A</t>
        </is>
      </c>
      <c r="K28" s="62" t="n"/>
      <c r="L28" s="63" t="n">
        <v>-0.711297071129707</v>
      </c>
      <c r="M28" s="63" t="n">
        <v>-0.6289487447698749</v>
      </c>
      <c r="N28" s="63" t="n">
        <v>-0.34989539748954</v>
      </c>
      <c r="O28" s="63" t="n">
        <v>-0.346234309623431</v>
      </c>
      <c r="P28" s="63" t="n">
        <v>-0.364539748953975</v>
      </c>
      <c r="Q28" s="64" t="n">
        <v>32</v>
      </c>
      <c r="R28" s="64" t="n">
        <v>0</v>
      </c>
    </row>
    <row r="29" ht="15" customHeight="1" s="43">
      <c r="A29" s="57" t="inlineStr">
        <is>
          <t>Infográfico (JPG / HTML)</t>
        </is>
      </c>
      <c r="B29" s="58" t="n">
        <v>11904</v>
      </c>
      <c r="C29" s="58" t="n">
        <v>4048</v>
      </c>
      <c r="D29" s="58" t="n">
        <v>4416.65</v>
      </c>
      <c r="E29" s="58" t="n">
        <v>7738</v>
      </c>
      <c r="F29" s="58" t="n">
        <v>8000</v>
      </c>
      <c r="G29" s="58" t="n">
        <v>6200</v>
      </c>
      <c r="H29" s="59" t="n"/>
      <c r="I29" s="60" t="n">
        <v>4048</v>
      </c>
      <c r="J29" s="61" t="inlineStr">
        <is>
          <t>A</t>
        </is>
      </c>
      <c r="K29" s="62" t="n"/>
      <c r="L29" s="63" t="n">
        <v>-0.65994623655914</v>
      </c>
      <c r="M29" s="63" t="n">
        <v>-0.628977654569893</v>
      </c>
      <c r="N29" s="63" t="n">
        <v>-0.349966397849462</v>
      </c>
      <c r="O29" s="63" t="n">
        <v>-0.327956989247312</v>
      </c>
      <c r="P29" s="63" t="n">
        <v>-0.479166666666667</v>
      </c>
      <c r="Q29" s="64" t="n">
        <v>6</v>
      </c>
      <c r="R29" s="64" t="n">
        <v>2</v>
      </c>
    </row>
    <row r="30" ht="15" customHeight="1" s="43">
      <c r="A30" s="57" t="inlineStr">
        <is>
          <t>Tabelas / gráficos</t>
        </is>
      </c>
      <c r="B30" s="58" t="n">
        <v>4216</v>
      </c>
      <c r="C30" s="58" t="n">
        <v>1104</v>
      </c>
      <c r="D30" s="58" t="n">
        <v>1564.15</v>
      </c>
      <c r="E30" s="58" t="n">
        <v>826</v>
      </c>
      <c r="F30" s="58" t="n">
        <v>3000</v>
      </c>
      <c r="G30" s="58" t="n">
        <v>1080</v>
      </c>
      <c r="H30" s="59" t="n"/>
      <c r="I30" s="60" t="n">
        <v>826</v>
      </c>
      <c r="J30" s="61" t="inlineStr">
        <is>
          <t>C</t>
        </is>
      </c>
      <c r="K30" s="62" t="n"/>
      <c r="L30" s="63" t="n">
        <v>-0.738140417457306</v>
      </c>
      <c r="M30" s="63" t="n">
        <v>-0.628996679316888</v>
      </c>
      <c r="N30" s="63" t="n">
        <v>-0.804079696394687</v>
      </c>
      <c r="O30" s="63" t="n">
        <v>-0.28842504743833</v>
      </c>
      <c r="P30" s="63" t="n">
        <v>-0.743833017077799</v>
      </c>
      <c r="Q30" s="64" t="n">
        <v>0</v>
      </c>
      <c r="R30" s="64" t="n">
        <v>0</v>
      </c>
    </row>
    <row r="31" ht="15" customHeight="1" s="43">
      <c r="A31" s="57" t="inlineStr">
        <is>
          <t>Apresentação multimídia (projeto gráfico)</t>
        </is>
      </c>
      <c r="B31" s="58" t="n">
        <v>25684</v>
      </c>
      <c r="C31" s="58" t="n">
        <v>1656</v>
      </c>
      <c r="D31" s="58" t="n">
        <v>9528.75</v>
      </c>
      <c r="E31" s="58" t="n">
        <v>16695</v>
      </c>
      <c r="F31" s="58" t="n">
        <v>18000</v>
      </c>
      <c r="G31" s="58" t="n">
        <v>18900</v>
      </c>
      <c r="H31" s="59" t="n"/>
      <c r="I31" s="60" t="n">
        <v>1656</v>
      </c>
      <c r="J31" s="61" t="inlineStr">
        <is>
          <t>A</t>
        </is>
      </c>
      <c r="K31" s="62" t="n"/>
      <c r="L31" s="63" t="n">
        <v>-0.935524061672637</v>
      </c>
      <c r="M31" s="63" t="n">
        <v>-0.629000545086435</v>
      </c>
      <c r="N31" s="63" t="n">
        <v>-0.349984426101853</v>
      </c>
      <c r="O31" s="63" t="n">
        <v>-0.299174583398225</v>
      </c>
      <c r="P31" s="63" t="n">
        <v>-0.264133312568136</v>
      </c>
      <c r="Q31" s="64" t="n">
        <v>3</v>
      </c>
      <c r="R31" s="64" t="n">
        <v>0</v>
      </c>
    </row>
    <row r="32" ht="15" customHeight="1" s="43">
      <c r="A32" s="57" t="inlineStr">
        <is>
          <t>Apresentação multimídia (slide adicional)</t>
        </is>
      </c>
      <c r="B32" s="58" t="n">
        <v>5137</v>
      </c>
      <c r="C32" s="58" t="n">
        <v>368</v>
      </c>
      <c r="D32" s="58" t="n">
        <v>1905.75</v>
      </c>
      <c r="E32" s="58" t="n">
        <v>3339</v>
      </c>
      <c r="F32" s="58" t="n">
        <v>3500</v>
      </c>
      <c r="G32" s="58" t="n">
        <v>880</v>
      </c>
      <c r="H32" s="59" t="n"/>
      <c r="I32" s="60" t="n">
        <v>368</v>
      </c>
      <c r="J32" s="61" t="inlineStr">
        <is>
          <t>A</t>
        </is>
      </c>
      <c r="K32" s="62" t="n"/>
      <c r="L32" s="63" t="n">
        <v>-0.928362857699046</v>
      </c>
      <c r="M32" s="63" t="n">
        <v>-0.629014989293362</v>
      </c>
      <c r="N32" s="63" t="n">
        <v>-0.350009733307378</v>
      </c>
      <c r="O32" s="63" t="n">
        <v>-0.318668483550711</v>
      </c>
      <c r="P32" s="63" t="n">
        <v>-0.828693790149893</v>
      </c>
      <c r="Q32" s="64" t="n">
        <v>0</v>
      </c>
      <c r="R32" s="64" t="n">
        <v>0</v>
      </c>
    </row>
    <row r="33" ht="15" customHeight="1" s="43">
      <c r="A33" s="57" t="inlineStr">
        <is>
          <t>Landing page</t>
        </is>
      </c>
      <c r="B33" s="58" t="n">
        <v>25419</v>
      </c>
      <c r="C33" s="58" t="n">
        <v>8096</v>
      </c>
      <c r="D33" s="58" t="n">
        <v>6565.3</v>
      </c>
      <c r="E33" s="58" t="n">
        <v>11502</v>
      </c>
      <c r="F33" s="58" t="n">
        <v>14000</v>
      </c>
      <c r="G33" s="58" t="n">
        <v>7290</v>
      </c>
      <c r="H33" s="59" t="n"/>
      <c r="I33" s="60" t="n">
        <v>6565.3</v>
      </c>
      <c r="J33" s="61" t="inlineStr">
        <is>
          <t>B</t>
        </is>
      </c>
      <c r="K33" s="62" t="n"/>
      <c r="L33" s="63" t="n">
        <v>-0.681498091978441</v>
      </c>
      <c r="M33" s="63" t="n">
        <v>-0.741716825996302</v>
      </c>
      <c r="N33" s="63" t="n">
        <v>-0.547503835713443</v>
      </c>
      <c r="O33" s="63" t="n">
        <v>-0.449230890278925</v>
      </c>
      <c r="P33" s="63" t="n">
        <v>-0.713206656438097</v>
      </c>
      <c r="Q33" s="64" t="n">
        <v>3</v>
      </c>
      <c r="R33" s="64" t="n">
        <v>2</v>
      </c>
    </row>
    <row r="34" ht="15" customHeight="1" s="43">
      <c r="A34" s="57" t="inlineStr">
        <is>
          <t>Hotsite (baixa complexidade)</t>
        </is>
      </c>
      <c r="B34" s="58" t="n">
        <v>17696</v>
      </c>
      <c r="C34" s="58" t="n">
        <v>3312</v>
      </c>
      <c r="D34" s="58" t="n">
        <v>9430.4</v>
      </c>
      <c r="E34" s="58" t="n">
        <v>16522</v>
      </c>
      <c r="F34" s="58" t="n">
        <v>20000</v>
      </c>
      <c r="G34" s="58" t="n">
        <v>12150</v>
      </c>
      <c r="H34" s="59" t="n"/>
      <c r="I34" s="60" t="n">
        <v>3312</v>
      </c>
      <c r="J34" s="61" t="inlineStr">
        <is>
          <t>A</t>
        </is>
      </c>
      <c r="K34" s="62" t="n"/>
      <c r="L34" s="63" t="n">
        <v>-0.812839059674503</v>
      </c>
      <c r="M34" s="63" t="n">
        <v>-0.467088607594937</v>
      </c>
      <c r="N34" s="63" t="n">
        <v>-0.0663426763110308</v>
      </c>
      <c r="O34" s="63" t="n">
        <v>0.130198915009042</v>
      </c>
      <c r="P34" s="63" t="n">
        <v>-0.313404159132007</v>
      </c>
      <c r="Q34" s="64" t="n">
        <v>0</v>
      </c>
      <c r="R34" s="64" t="n">
        <v>0</v>
      </c>
    </row>
    <row r="35" ht="15" customHeight="1" s="43">
      <c r="A35" s="57" t="inlineStr">
        <is>
          <t>Hotsite (média complexidade)</t>
        </is>
      </c>
      <c r="B35" s="58" t="n">
        <v>40957</v>
      </c>
      <c r="C35" s="58" t="n">
        <v>10672</v>
      </c>
      <c r="D35" s="58" t="n">
        <v>15195.25</v>
      </c>
      <c r="E35" s="58" t="n">
        <v>26622</v>
      </c>
      <c r="F35" s="58" t="n">
        <v>30000</v>
      </c>
      <c r="G35" s="58" t="n">
        <v>24300</v>
      </c>
      <c r="H35" s="59" t="n"/>
      <c r="I35" s="60" t="n">
        <v>10672</v>
      </c>
      <c r="J35" s="61" t="inlineStr">
        <is>
          <t>A</t>
        </is>
      </c>
      <c r="K35" s="62" t="n"/>
      <c r="L35" s="63" t="n">
        <v>-0.739434040579144</v>
      </c>
      <c r="M35" s="63" t="n">
        <v>-0.628995043582294</v>
      </c>
      <c r="N35" s="63" t="n">
        <v>-0.350001220792539</v>
      </c>
      <c r="O35" s="63" t="n">
        <v>-0.267524476890397</v>
      </c>
      <c r="P35" s="63" t="n">
        <v>-0.406694826281222</v>
      </c>
      <c r="Q35" s="64" t="n">
        <v>0</v>
      </c>
      <c r="R35" s="64" t="n">
        <v>0</v>
      </c>
    </row>
    <row r="36" ht="15" customHeight="1" s="43">
      <c r="A36" s="57" t="inlineStr">
        <is>
          <t>Roteiro para vídeo até 60”</t>
        </is>
      </c>
      <c r="B36" s="58" t="n">
        <v>19364</v>
      </c>
      <c r="C36" s="58" t="n">
        <v>552</v>
      </c>
      <c r="D36" s="58" t="n">
        <v>7184.1</v>
      </c>
      <c r="E36" s="58" t="n">
        <v>12587</v>
      </c>
      <c r="F36" s="58" t="n">
        <v>9000</v>
      </c>
      <c r="G36" s="58" t="n">
        <v>7800</v>
      </c>
      <c r="H36" s="59" t="n"/>
      <c r="I36" s="60" t="n">
        <v>552</v>
      </c>
      <c r="J36" s="61" t="inlineStr">
        <is>
          <t>A</t>
        </is>
      </c>
      <c r="K36" s="62" t="n"/>
      <c r="L36" s="63" t="n">
        <v>-0.971493493079942</v>
      </c>
      <c r="M36" s="63" t="n">
        <v>-0.62899710803553</v>
      </c>
      <c r="N36" s="63" t="n">
        <v>-0.349979343110928</v>
      </c>
      <c r="O36" s="63" t="n">
        <v>-0.535219995868622</v>
      </c>
      <c r="P36" s="63" t="n">
        <v>-0.597190663086139</v>
      </c>
      <c r="Q36" s="64" t="n">
        <v>1</v>
      </c>
      <c r="R36" s="64" t="n">
        <v>1</v>
      </c>
    </row>
    <row r="37" ht="15" customHeight="1" s="43">
      <c r="A37" s="57" t="inlineStr">
        <is>
          <t>Roteiro para vídeo acima de 60”</t>
        </is>
      </c>
      <c r="B37" s="58" t="n">
        <v>29043</v>
      </c>
      <c r="C37" s="58" t="n">
        <v>1472</v>
      </c>
      <c r="D37" s="58" t="n">
        <v>10774.75</v>
      </c>
      <c r="E37" s="58" t="n">
        <v>18878</v>
      </c>
      <c r="F37" s="58" t="n">
        <v>18000</v>
      </c>
      <c r="G37" s="58" t="n">
        <v>11000</v>
      </c>
      <c r="H37" s="59" t="n"/>
      <c r="I37" s="60" t="n">
        <v>1472</v>
      </c>
      <c r="J37" s="61" t="inlineStr">
        <is>
          <t>A</t>
        </is>
      </c>
      <c r="K37" s="62" t="n"/>
      <c r="L37" s="63" t="n">
        <v>-0.949316530661433</v>
      </c>
      <c r="M37" s="63" t="n">
        <v>-0.6290069896360569</v>
      </c>
      <c r="N37" s="63" t="n">
        <v>-0.349998278414764</v>
      </c>
      <c r="O37" s="63" t="n">
        <v>-0.380229315153393</v>
      </c>
      <c r="P37" s="63" t="n">
        <v>-0.621251248149296</v>
      </c>
      <c r="Q37" s="64" t="n">
        <v>0</v>
      </c>
      <c r="R37" s="64" t="n">
        <v>0</v>
      </c>
    </row>
    <row r="38" ht="15" customHeight="1" s="43">
      <c r="A38" s="57" t="inlineStr">
        <is>
          <t>Vídeo institucional até 5 minutos</t>
        </is>
      </c>
      <c r="B38" s="58" t="n">
        <v>29102</v>
      </c>
      <c r="C38" s="58" t="n">
        <v>9568</v>
      </c>
      <c r="D38" s="58" t="n">
        <v>10796.8</v>
      </c>
      <c r="E38" s="58" t="n">
        <v>18916</v>
      </c>
      <c r="F38" s="58" t="n">
        <v>24000</v>
      </c>
      <c r="G38" s="58" t="n">
        <v>60000</v>
      </c>
      <c r="H38" s="59" t="n"/>
      <c r="I38" s="60" t="n">
        <v>9568</v>
      </c>
      <c r="J38" s="61" t="inlineStr">
        <is>
          <t>A</t>
        </is>
      </c>
      <c r="K38" s="62" t="n"/>
      <c r="L38" s="63" t="n">
        <v>-0.67122534533709</v>
      </c>
      <c r="M38" s="63" t="n">
        <v>-0.62900144319978</v>
      </c>
      <c r="N38" s="63" t="n">
        <v>-0.350010308569858</v>
      </c>
      <c r="O38" s="63" t="n">
        <v>-0.175314411380661</v>
      </c>
      <c r="P38" s="63" t="n">
        <v>1.06171397154835</v>
      </c>
      <c r="Q38" s="64" t="n">
        <v>12</v>
      </c>
      <c r="R38" s="64" t="n">
        <v>9</v>
      </c>
    </row>
    <row r="39" ht="15" customHeight="1" s="43">
      <c r="A39" s="57" t="inlineStr">
        <is>
          <t>Filme / VT até 60”</t>
        </is>
      </c>
      <c r="B39" s="58" t="n">
        <v>19364</v>
      </c>
      <c r="C39" s="58" t="n">
        <v>2024</v>
      </c>
      <c r="D39" s="58" t="n">
        <v>7184.1</v>
      </c>
      <c r="E39" s="58" t="n">
        <v>12587</v>
      </c>
      <c r="F39" s="58" t="n">
        <v>16000</v>
      </c>
      <c r="G39" s="58" t="n">
        <v>12800</v>
      </c>
      <c r="H39" s="59" t="n"/>
      <c r="I39" s="60" t="n">
        <v>2024</v>
      </c>
      <c r="J39" s="61" t="inlineStr">
        <is>
          <t>A</t>
        </is>
      </c>
      <c r="K39" s="62" t="n"/>
      <c r="L39" s="63" t="n">
        <v>-0.895476141293121</v>
      </c>
      <c r="M39" s="63" t="n">
        <v>-0.62899710803553</v>
      </c>
      <c r="N39" s="63" t="n">
        <v>-0.349979343110928</v>
      </c>
      <c r="O39" s="63" t="n">
        <v>-0.173724437099773</v>
      </c>
      <c r="P39" s="63" t="n">
        <v>-0.338979549679818</v>
      </c>
      <c r="Q39" s="64" t="n">
        <v>0</v>
      </c>
      <c r="R39" s="64" t="n">
        <v>0</v>
      </c>
    </row>
    <row r="40" ht="15" customHeight="1" s="43">
      <c r="A40" s="57" t="inlineStr">
        <is>
          <t>Filme / VT acima de 60”</t>
        </is>
      </c>
      <c r="B40" s="58" t="n">
        <v>29043</v>
      </c>
      <c r="C40" s="58" t="n">
        <v>4784</v>
      </c>
      <c r="D40" s="58" t="n">
        <v>10774.75</v>
      </c>
      <c r="E40" s="58" t="n">
        <v>18878</v>
      </c>
      <c r="F40" s="58" t="n">
        <v>24000</v>
      </c>
      <c r="G40" s="58" t="n">
        <v>14000</v>
      </c>
      <c r="H40" s="59" t="n"/>
      <c r="I40" s="60" t="n">
        <v>4784</v>
      </c>
      <c r="J40" s="61" t="inlineStr">
        <is>
          <t>A</t>
        </is>
      </c>
      <c r="K40" s="62" t="n"/>
      <c r="L40" s="63" t="n">
        <v>-0.835278724649657</v>
      </c>
      <c r="M40" s="63" t="n">
        <v>-0.6290069896360569</v>
      </c>
      <c r="N40" s="63" t="n">
        <v>-0.349998278414764</v>
      </c>
      <c r="O40" s="63" t="n">
        <v>-0.173639086871191</v>
      </c>
      <c r="P40" s="63" t="n">
        <v>-0.517956134008195</v>
      </c>
      <c r="Q40" s="64" t="n">
        <v>0</v>
      </c>
      <c r="R40" s="64" t="n">
        <v>0</v>
      </c>
    </row>
    <row r="41" ht="15" customHeight="1" s="43">
      <c r="A41" s="57" t="inlineStr">
        <is>
          <t>Vinheta eletrônica</t>
        </is>
      </c>
      <c r="B41" s="58" t="n">
        <v>12093</v>
      </c>
      <c r="C41" s="58" t="n">
        <v>2024</v>
      </c>
      <c r="D41" s="58" t="n">
        <v>4486.3</v>
      </c>
      <c r="E41" s="58" t="n">
        <v>8463</v>
      </c>
      <c r="F41" s="58" t="n">
        <v>11000</v>
      </c>
      <c r="G41" s="58" t="n">
        <v>7800</v>
      </c>
      <c r="H41" s="59" t="n"/>
      <c r="I41" s="60" t="n">
        <v>2024</v>
      </c>
      <c r="J41" s="61" t="inlineStr">
        <is>
          <t>A</t>
        </is>
      </c>
      <c r="K41" s="62" t="n"/>
      <c r="L41" s="63" t="n">
        <v>-0.832630447366245</v>
      </c>
      <c r="M41" s="63" t="n">
        <v>-0.629016786570743</v>
      </c>
      <c r="N41" s="63" t="n">
        <v>-0.300173654180104</v>
      </c>
      <c r="O41" s="63" t="n">
        <v>-0.0903828661208964</v>
      </c>
      <c r="P41" s="63" t="n">
        <v>-0.354998759612999</v>
      </c>
      <c r="Q41" s="64" t="n">
        <v>4</v>
      </c>
      <c r="R41" s="64" t="n">
        <v>3</v>
      </c>
    </row>
    <row r="42" ht="15" customHeight="1" s="43">
      <c r="A42" s="57" t="inlineStr">
        <is>
          <t>Banner animado / vídeo digital</t>
        </is>
      </c>
      <c r="B42" s="58" t="n">
        <v>5678</v>
      </c>
      <c r="C42" s="58" t="n">
        <v>1288</v>
      </c>
      <c r="D42" s="58" t="n">
        <v>2106.3</v>
      </c>
      <c r="E42" s="58" t="n">
        <v>3691</v>
      </c>
      <c r="F42" s="58" t="n">
        <v>4500</v>
      </c>
      <c r="G42" s="58" t="n">
        <v>4860</v>
      </c>
      <c r="H42" s="59" t="n"/>
      <c r="I42" s="60" t="n">
        <v>1288</v>
      </c>
      <c r="J42" s="61" t="inlineStr">
        <is>
          <t>A</t>
        </is>
      </c>
      <c r="K42" s="62" t="n"/>
      <c r="L42" s="63" t="n">
        <v>-0.773159563226488</v>
      </c>
      <c r="M42" s="63" t="n">
        <v>-0.629041916167665</v>
      </c>
      <c r="N42" s="63" t="n">
        <v>-0.34994716449454</v>
      </c>
      <c r="O42" s="63" t="n">
        <v>-0.207467418104967</v>
      </c>
      <c r="P42" s="63" t="n">
        <v>-0.144064811553364</v>
      </c>
      <c r="Q42" s="64" t="n">
        <v>40</v>
      </c>
      <c r="R42" s="64" t="n">
        <v>2</v>
      </c>
    </row>
    <row r="43" ht="15" customHeight="1" s="43">
      <c r="A43" s="57" t="inlineStr">
        <is>
          <t>Motion design (peças digitais)</t>
        </is>
      </c>
      <c r="B43" s="58" t="n">
        <v>13020</v>
      </c>
      <c r="C43" s="58" t="n">
        <v>2208</v>
      </c>
      <c r="D43" s="58" t="n">
        <v>4830.7</v>
      </c>
      <c r="E43" s="58" t="n">
        <v>8463</v>
      </c>
      <c r="F43" s="58" t="n">
        <v>1000</v>
      </c>
      <c r="G43" s="58" t="n">
        <v>5400</v>
      </c>
      <c r="H43" s="59" t="n"/>
      <c r="I43" s="60" t="n">
        <v>1000</v>
      </c>
      <c r="J43" s="61" t="inlineStr">
        <is>
          <t>D</t>
        </is>
      </c>
      <c r="K43" s="62" t="n"/>
      <c r="L43" s="63" t="n">
        <v>-0.830414746543779</v>
      </c>
      <c r="M43" s="63" t="n">
        <v>-0.628978494623656</v>
      </c>
      <c r="N43" s="63" t="n">
        <v>-0.35</v>
      </c>
      <c r="O43" s="63" t="n">
        <v>-0.923195084485407</v>
      </c>
      <c r="P43" s="63" t="n">
        <v>-0.585253456221198</v>
      </c>
      <c r="Q43" s="64" t="n">
        <v>0</v>
      </c>
      <c r="R43" s="64" t="n">
        <v>0</v>
      </c>
    </row>
    <row r="44" ht="15" customHeight="1" s="43">
      <c r="A44" s="57" t="inlineStr">
        <is>
          <t>Projeto de branding</t>
        </is>
      </c>
      <c r="B44" s="58" t="n">
        <v>117535</v>
      </c>
      <c r="C44" s="58" t="n">
        <v>18000</v>
      </c>
      <c r="D44" s="58" t="n">
        <v>43605.45</v>
      </c>
      <c r="E44" s="58" t="n">
        <v>76398</v>
      </c>
      <c r="F44" s="58" t="n">
        <v>85000</v>
      </c>
      <c r="G44" s="58" t="n">
        <v>65000</v>
      </c>
      <c r="H44" s="59" t="n"/>
      <c r="I44" s="60" t="n">
        <v>18000</v>
      </c>
      <c r="J44" s="61" t="inlineStr">
        <is>
          <t>A</t>
        </is>
      </c>
      <c r="K44" s="62" t="n"/>
      <c r="L44" s="63" t="n">
        <v>-0.846854128557451</v>
      </c>
      <c r="M44" s="63" t="n">
        <v>-0.629000297783639</v>
      </c>
      <c r="N44" s="63" t="n">
        <v>-0.349997872974008</v>
      </c>
      <c r="O44" s="63" t="n">
        <v>-0.276811162632407</v>
      </c>
      <c r="P44" s="63" t="n">
        <v>-0.446973242013017</v>
      </c>
      <c r="Q44" s="64" t="n">
        <v>1</v>
      </c>
      <c r="R44" s="64" t="n">
        <v>1</v>
      </c>
    </row>
    <row r="45" ht="15" customHeight="1" s="43">
      <c r="A45" s="57" t="inlineStr">
        <is>
          <t>Marca / logotipo</t>
        </is>
      </c>
      <c r="B45" s="58" t="n">
        <v>22729</v>
      </c>
      <c r="C45" s="58" t="n">
        <v>3864</v>
      </c>
      <c r="D45" s="58" t="n">
        <v>8432.549999999999</v>
      </c>
      <c r="E45" s="58" t="n">
        <v>14774</v>
      </c>
      <c r="F45" s="58" t="n">
        <v>15000</v>
      </c>
      <c r="G45" s="58" t="n">
        <v>18000</v>
      </c>
      <c r="H45" s="59" t="n"/>
      <c r="I45" s="60" t="n">
        <v>3864</v>
      </c>
      <c r="J45" s="61" t="inlineStr">
        <is>
          <t>A</t>
        </is>
      </c>
      <c r="K45" s="62" t="n"/>
      <c r="L45" s="63" t="n">
        <v>-0.829996920234062</v>
      </c>
      <c r="M45" s="63" t="n">
        <v>-0.628995996304281</v>
      </c>
      <c r="N45" s="63" t="n">
        <v>-0.349993400501562</v>
      </c>
      <c r="O45" s="63" t="n">
        <v>-0.34005015618813</v>
      </c>
      <c r="P45" s="63" t="n">
        <v>-0.208060187425756</v>
      </c>
      <c r="Q45" s="64" t="n">
        <v>5</v>
      </c>
      <c r="R45" s="64" t="n">
        <v>1</v>
      </c>
    </row>
    <row r="46" ht="15" customHeight="1" s="43">
      <c r="A46" s="57" t="inlineStr">
        <is>
          <t>Nome de marca</t>
        </is>
      </c>
      <c r="B46" s="58" t="n">
        <v>27699</v>
      </c>
      <c r="C46" s="58" t="n">
        <v>1104</v>
      </c>
      <c r="D46" s="58" t="n">
        <v>10276.35</v>
      </c>
      <c r="E46" s="58" t="n">
        <v>18004</v>
      </c>
      <c r="F46" s="58" t="n">
        <v>20000</v>
      </c>
      <c r="G46" s="58" t="n">
        <v>22000</v>
      </c>
      <c r="H46" s="59" t="n"/>
      <c r="I46" s="60" t="n">
        <v>1104</v>
      </c>
      <c r="J46" s="61" t="inlineStr">
        <is>
          <t>A</t>
        </is>
      </c>
      <c r="K46" s="62" t="n"/>
      <c r="L46" s="63" t="n">
        <v>-0.960142965450016</v>
      </c>
      <c r="M46" s="63" t="n">
        <v>-0.628999241849886</v>
      </c>
      <c r="N46" s="63" t="n">
        <v>-0.350012635835229</v>
      </c>
      <c r="O46" s="63" t="n">
        <v>-0.277952272645222</v>
      </c>
      <c r="P46" s="63" t="n">
        <v>-0.205747499909744</v>
      </c>
      <c r="Q46" s="64" t="n">
        <v>0</v>
      </c>
      <c r="R46" s="64" t="n">
        <v>0</v>
      </c>
    </row>
    <row r="47" ht="15" customHeight="1" s="43">
      <c r="A47" s="57" t="inlineStr">
        <is>
          <t>Manual de identidade visual (por lâmina)</t>
        </is>
      </c>
      <c r="B47" s="58" t="n">
        <v>2598</v>
      </c>
      <c r="C47" s="58" t="n">
        <v>1067.2</v>
      </c>
      <c r="D47" s="58" t="n">
        <v>963.9</v>
      </c>
      <c r="E47" s="58" t="n">
        <v>1689</v>
      </c>
      <c r="F47" s="58" t="n">
        <v>2000</v>
      </c>
      <c r="G47" s="58" t="n">
        <v>1800</v>
      </c>
      <c r="H47" s="59" t="n"/>
      <c r="I47" s="60" t="n">
        <v>963.9</v>
      </c>
      <c r="J47" s="61" t="inlineStr">
        <is>
          <t>B</t>
        </is>
      </c>
      <c r="K47" s="62" t="n"/>
      <c r="L47" s="63" t="n">
        <v>-0.589222478829869</v>
      </c>
      <c r="M47" s="63" t="n">
        <v>-0.628983833718245</v>
      </c>
      <c r="N47" s="63" t="n">
        <v>-0.349884526558892</v>
      </c>
      <c r="O47" s="63" t="n">
        <v>-0.230177059276366</v>
      </c>
      <c r="P47" s="63" t="n">
        <v>-0.30715935334873</v>
      </c>
      <c r="Q47" s="64" t="n">
        <v>0</v>
      </c>
      <c r="R47" s="64" t="n">
        <v>1</v>
      </c>
    </row>
    <row r="48" ht="15" customHeight="1" s="43">
      <c r="A48" s="57" t="inlineStr">
        <is>
          <t>Programação visual de estande (conceito)</t>
        </is>
      </c>
      <c r="B48" s="58" t="n">
        <v>18296</v>
      </c>
      <c r="C48" s="58" t="n">
        <v>8500</v>
      </c>
      <c r="D48" s="58" t="n">
        <v>6787.9</v>
      </c>
      <c r="E48" s="58" t="n">
        <v>11892</v>
      </c>
      <c r="F48" s="58" t="n">
        <v>15000</v>
      </c>
      <c r="G48" s="58" t="n">
        <v>14700</v>
      </c>
      <c r="H48" s="59" t="n"/>
      <c r="I48" s="60" t="n">
        <v>6787.9</v>
      </c>
      <c r="J48" s="61" t="inlineStr">
        <is>
          <t>B</t>
        </is>
      </c>
      <c r="K48" s="62" t="n"/>
      <c r="L48" s="63" t="n">
        <v>-0.535417577612593</v>
      </c>
      <c r="M48" s="63" t="n">
        <v>-0.628995408832532</v>
      </c>
      <c r="N48" s="63" t="n">
        <v>-0.35002186270223</v>
      </c>
      <c r="O48" s="63" t="n">
        <v>-0.180148666375164</v>
      </c>
      <c r="P48" s="63" t="n">
        <v>-0.196545693047661</v>
      </c>
      <c r="Q48" s="64" t="n">
        <v>0</v>
      </c>
      <c r="R48" s="64" t="n">
        <v>0</v>
      </c>
    </row>
    <row r="49" ht="15" customHeight="1" s="43">
      <c r="A49" s="57" t="inlineStr">
        <is>
          <t>Projeto de sinalização (conceito)</t>
        </is>
      </c>
      <c r="B49" s="58" t="n">
        <v>7858</v>
      </c>
      <c r="C49" s="58" t="n">
        <v>7500</v>
      </c>
      <c r="D49" s="58" t="n">
        <v>4239.2</v>
      </c>
      <c r="E49" s="58" t="n">
        <v>6035</v>
      </c>
      <c r="F49" s="58" t="n">
        <v>7000</v>
      </c>
      <c r="G49" s="58" t="n">
        <v>8800</v>
      </c>
      <c r="H49" s="59" t="n"/>
      <c r="I49" s="60" t="n">
        <v>4239.2</v>
      </c>
      <c r="J49" s="61" t="inlineStr">
        <is>
          <t>B</t>
        </is>
      </c>
      <c r="K49" s="62" t="n"/>
      <c r="L49" s="63" t="n">
        <v>-0.0455586663273098</v>
      </c>
      <c r="M49" s="63" t="n">
        <v>-0.460524306439298</v>
      </c>
      <c r="N49" s="63" t="n">
        <v>-0.231992873504709</v>
      </c>
      <c r="O49" s="63" t="n">
        <v>-0.109188088572156</v>
      </c>
      <c r="P49" s="63" t="n">
        <v>0.11987783150929</v>
      </c>
      <c r="Q49" s="64" t="n">
        <v>6</v>
      </c>
      <c r="R49" s="64" t="n">
        <v>0</v>
      </c>
    </row>
    <row r="50" ht="15" customHeight="1" s="43">
      <c r="A50" s="57" t="inlineStr">
        <is>
          <t>Outdoor / mídia exterior (criação)</t>
        </is>
      </c>
      <c r="B50" s="58" t="n">
        <v>7030</v>
      </c>
      <c r="C50" s="58" t="n">
        <v>2208</v>
      </c>
      <c r="D50" s="58" t="n">
        <v>2608.2</v>
      </c>
      <c r="E50" s="58" t="n">
        <v>4570</v>
      </c>
      <c r="F50" s="58" t="n">
        <v>5500</v>
      </c>
      <c r="G50" s="58" t="n">
        <v>3400</v>
      </c>
      <c r="H50" s="59" t="n"/>
      <c r="I50" s="60" t="n">
        <v>2208</v>
      </c>
      <c r="J50" s="61" t="inlineStr">
        <is>
          <t>A</t>
        </is>
      </c>
      <c r="K50" s="62" t="n"/>
      <c r="L50" s="63" t="n">
        <v>-0.6859174964438119</v>
      </c>
      <c r="M50" s="63" t="n">
        <v>-0.628990042674253</v>
      </c>
      <c r="N50" s="63" t="n">
        <v>-0.349928876244666</v>
      </c>
      <c r="O50" s="63" t="n">
        <v>-0.217638691322902</v>
      </c>
      <c r="P50" s="63" t="n">
        <v>-0.516358463726885</v>
      </c>
      <c r="Q50" s="64" t="n">
        <v>3</v>
      </c>
      <c r="R50" s="64" t="n">
        <v>0</v>
      </c>
    </row>
    <row r="51" ht="15" customHeight="1" s="43">
      <c r="A51" s="57" t="inlineStr">
        <is>
          <t>Consultoria – diretor (hora)</t>
        </is>
      </c>
      <c r="B51" s="58" t="n">
        <v>1556</v>
      </c>
      <c r="C51" s="58" t="n">
        <v>367</v>
      </c>
      <c r="D51" s="58" t="n">
        <v>577.15</v>
      </c>
      <c r="E51" s="58" t="n">
        <v>1011</v>
      </c>
      <c r="F51" s="58" t="n">
        <v>1000</v>
      </c>
      <c r="G51" s="58" t="n">
        <v>523.26</v>
      </c>
      <c r="H51" s="59" t="n"/>
      <c r="I51" s="60" t="n">
        <v>367</v>
      </c>
      <c r="J51" s="61" t="inlineStr">
        <is>
          <t>A</t>
        </is>
      </c>
      <c r="K51" s="62" t="n"/>
      <c r="L51" s="63" t="n">
        <v>-0.76413881748072</v>
      </c>
      <c r="M51" s="63" t="n">
        <v>-0.629080976863753</v>
      </c>
      <c r="N51" s="63" t="n">
        <v>-0.35025706940874</v>
      </c>
      <c r="O51" s="63" t="n">
        <v>-0.3573264781491</v>
      </c>
      <c r="P51" s="63" t="n">
        <v>-0.6637146529562979</v>
      </c>
      <c r="Q51" s="64" t="n">
        <v>0</v>
      </c>
      <c r="R51" s="64" t="n">
        <v>0</v>
      </c>
    </row>
    <row r="52" ht="15" customHeight="1" s="43">
      <c r="A52" s="57" t="inlineStr">
        <is>
          <t>Gerente / supervisor (hora)</t>
        </is>
      </c>
      <c r="B52" s="58" t="n">
        <v>1040</v>
      </c>
      <c r="C52" s="58" t="n">
        <v>263</v>
      </c>
      <c r="D52" s="58" t="n">
        <v>385.7</v>
      </c>
      <c r="E52" s="58" t="n">
        <v>676</v>
      </c>
      <c r="F52" s="58" t="n">
        <v>600</v>
      </c>
      <c r="G52" s="58" t="n">
        <v>361.25</v>
      </c>
      <c r="H52" s="59" t="n"/>
      <c r="I52" s="60" t="n">
        <v>263</v>
      </c>
      <c r="J52" s="61" t="inlineStr">
        <is>
          <t>A</t>
        </is>
      </c>
      <c r="K52" s="62" t="n"/>
      <c r="L52" s="63" t="n">
        <v>-0.747115384615385</v>
      </c>
      <c r="M52" s="63" t="n">
        <v>-0.629134615384615</v>
      </c>
      <c r="N52" s="63" t="n">
        <v>-0.35</v>
      </c>
      <c r="O52" s="63" t="n">
        <v>-0.423076923076923</v>
      </c>
      <c r="P52" s="63" t="n">
        <v>-0.6526442307692309</v>
      </c>
      <c r="Q52" s="64" t="n">
        <v>0</v>
      </c>
      <c r="R52" s="64" t="n">
        <v>0</v>
      </c>
    </row>
    <row r="53" ht="15" customHeight="1" s="43">
      <c r="A53" s="57" t="inlineStr">
        <is>
          <t>Analista / assistente (hora)</t>
        </is>
      </c>
      <c r="B53" s="58" t="n">
        <v>727</v>
      </c>
      <c r="C53" s="58" t="n">
        <v>127</v>
      </c>
      <c r="D53" s="58" t="n">
        <v>269.5</v>
      </c>
      <c r="E53" s="58" t="n">
        <v>473</v>
      </c>
      <c r="F53" s="58" t="n">
        <v>300</v>
      </c>
      <c r="G53" s="58" t="n">
        <v>201.42</v>
      </c>
      <c r="H53" s="59" t="n"/>
      <c r="I53" s="60" t="n">
        <v>127</v>
      </c>
      <c r="J53" s="61" t="inlineStr">
        <is>
          <t>A</t>
        </is>
      </c>
      <c r="K53" s="62" t="n"/>
      <c r="L53" s="63" t="n">
        <v>-0.825309491059147</v>
      </c>
      <c r="M53" s="63" t="n">
        <v>-0.6292984869326</v>
      </c>
      <c r="N53" s="63" t="n">
        <v>-0.349381017881706</v>
      </c>
      <c r="O53" s="63" t="n">
        <v>-0.587345254470426</v>
      </c>
      <c r="P53" s="63" t="n">
        <v>-0.722943603851444</v>
      </c>
      <c r="Q53" s="64" t="n">
        <v>0</v>
      </c>
      <c r="R53" s="64" t="n">
        <v>0</v>
      </c>
    </row>
    <row r="54" ht="15" customHeight="1" s="43">
      <c r="A54" s="57" t="inlineStr">
        <is>
          <t>Pesquisa em banco de imagem / vídeo</t>
        </is>
      </c>
      <c r="B54" s="58" t="n">
        <v>779</v>
      </c>
      <c r="C54" s="58" t="n">
        <v>460</v>
      </c>
      <c r="D54" s="58" t="n">
        <v>288.75</v>
      </c>
      <c r="E54" s="58" t="n">
        <v>506</v>
      </c>
      <c r="F54" s="58" t="n">
        <v>600</v>
      </c>
      <c r="G54" s="58" t="n">
        <v>650</v>
      </c>
      <c r="H54" s="59" t="n"/>
      <c r="I54" s="60" t="n">
        <v>288.75</v>
      </c>
      <c r="J54" s="61" t="inlineStr">
        <is>
          <t>B</t>
        </is>
      </c>
      <c r="K54" s="62" t="n"/>
      <c r="L54" s="63" t="n">
        <v>-0.409499358151476</v>
      </c>
      <c r="M54" s="63" t="n">
        <v>-0.629332477535302</v>
      </c>
      <c r="N54" s="63" t="n">
        <v>-0.350449293966624</v>
      </c>
      <c r="O54" s="63" t="n">
        <v>-0.229781771501926</v>
      </c>
      <c r="P54" s="63" t="n">
        <v>-0.165596919127086</v>
      </c>
      <c r="Q54" s="64" t="n">
        <v>0</v>
      </c>
      <c r="R54" s="64" t="n">
        <v>0</v>
      </c>
    </row>
    <row r="55" ht="15" customHeight="1" s="43">
      <c r="A55" s="57" t="inlineStr">
        <is>
          <t>Fee mensal</t>
        </is>
      </c>
      <c r="B55" s="58" t="n">
        <v>28000</v>
      </c>
      <c r="C55" s="58" t="n">
        <v>76171</v>
      </c>
      <c r="D55" s="58" t="n">
        <v>42000</v>
      </c>
      <c r="E55" s="58" t="n">
        <v>59500</v>
      </c>
      <c r="F55" s="58" t="n">
        <v>80000</v>
      </c>
      <c r="G55" s="58" t="n">
        <v>89568</v>
      </c>
      <c r="H55" s="59" t="n"/>
      <c r="I55" s="60" t="n">
        <v>42000</v>
      </c>
      <c r="J55" s="61" t="inlineStr">
        <is>
          <t>B</t>
        </is>
      </c>
      <c r="K55" s="62" t="n"/>
      <c r="L55" s="58" t="n">
        <v>76171</v>
      </c>
      <c r="M55" s="58" t="n">
        <v>42000</v>
      </c>
      <c r="N55" s="58" t="n">
        <v>59500</v>
      </c>
      <c r="O55" s="58" t="n">
        <v>80000</v>
      </c>
      <c r="P55" s="58" t="n">
        <v>89568</v>
      </c>
      <c r="Q55" s="64" t="n">
        <v>12</v>
      </c>
      <c r="R55" s="64" t="n">
        <v>0</v>
      </c>
    </row>
    <row r="56" ht="15" customHeight="1" s="43">
      <c r="A56" s="66" t="inlineStr">
        <is>
          <t>TOTAL</t>
        </is>
      </c>
      <c r="B56" s="67" t="n">
        <v>1085326</v>
      </c>
      <c r="C56" s="67" t="n">
        <v>290086.2</v>
      </c>
      <c r="D56" s="67" t="n">
        <v>368854.15</v>
      </c>
      <c r="E56" s="67" t="n">
        <v>640381</v>
      </c>
      <c r="F56" s="67" t="n">
        <v>698000</v>
      </c>
      <c r="G56" s="67" t="n">
        <v>723125.6</v>
      </c>
      <c r="H56" s="67" t="n"/>
      <c r="I56" s="68" t="n">
        <v>203787.85</v>
      </c>
      <c r="J56" s="69" t="n"/>
      <c r="K56" s="69" t="n"/>
      <c r="L56" s="67" t="n">
        <v>76131.5999467654</v>
      </c>
      <c r="M56" s="67" t="n">
        <v>41968.741533398</v>
      </c>
      <c r="N56" s="67" t="n">
        <v>59479.788526735</v>
      </c>
      <c r="O56" s="67" t="n">
        <v>79986.43752000169</v>
      </c>
      <c r="P56" s="67" t="n">
        <v>89547.5450281177</v>
      </c>
    </row>
  </sheetData>
  <conditionalFormatting sqref="L2:P54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U5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N25" activeCellId="0" sqref="N25"/>
    </sheetView>
  </sheetViews>
  <sheetFormatPr baseColWidth="8" defaultColWidth="8.53125" defaultRowHeight="15" zeroHeight="0" outlineLevelRow="0"/>
  <cols>
    <col width="11.57" customWidth="1" style="42" min="2" max="7"/>
    <col width="4.14" customWidth="1" style="42" min="8" max="8"/>
    <col width="12.71" customWidth="1" style="42" min="9" max="9"/>
    <col width="12.14" customWidth="1" style="42" min="10" max="10"/>
    <col width="3.85" customWidth="1" style="42" min="11" max="11"/>
    <col width="10.71" customWidth="1" style="42" min="12" max="16"/>
    <col width="18" customWidth="1" style="42" min="17" max="19"/>
    <col width="12" customWidth="1" style="43" min="18" max="18"/>
    <col width="8.43" customWidth="1" style="43" min="19" max="19"/>
    <col width="8.43" customWidth="1" style="42" min="20" max="20"/>
  </cols>
  <sheetData>
    <row r="1" ht="51" customHeight="1" s="43">
      <c r="A1" s="53" t="inlineStr">
        <is>
          <t>Serviço</t>
        </is>
      </c>
      <c r="B1" s="53" t="inlineStr">
        <is>
          <t>Preço RC</t>
        </is>
      </c>
      <c r="C1" s="53" t="inlineStr">
        <is>
          <t>A</t>
        </is>
      </c>
      <c r="D1" s="53" t="inlineStr">
        <is>
          <t>B</t>
        </is>
      </c>
      <c r="E1" s="53" t="inlineStr">
        <is>
          <t>C</t>
        </is>
      </c>
      <c r="F1" s="53" t="inlineStr">
        <is>
          <t>D</t>
        </is>
      </c>
      <c r="G1" s="53" t="inlineStr">
        <is>
          <t>E</t>
        </is>
      </c>
      <c r="H1" s="54" t="n"/>
      <c r="I1" s="55" t="inlineStr">
        <is>
          <t>Menor Preço</t>
        </is>
      </c>
      <c r="J1" s="56" t="inlineStr">
        <is>
          <t>Fornecedor Menor Preço</t>
        </is>
      </c>
      <c r="K1" s="54" t="n"/>
      <c r="L1" s="53" t="inlineStr">
        <is>
          <t>A</t>
        </is>
      </c>
      <c r="M1" s="53" t="inlineStr">
        <is>
          <t>B</t>
        </is>
      </c>
      <c r="N1" s="53" t="inlineStr">
        <is>
          <t>C</t>
        </is>
      </c>
      <c r="O1" s="53" t="inlineStr">
        <is>
          <t>D</t>
        </is>
      </c>
      <c r="P1" s="53" t="inlineStr">
        <is>
          <t>E</t>
        </is>
      </c>
      <c r="Q1" s="53" t="inlineStr">
        <is>
          <t>Estimativa de volumetria anual (total)</t>
        </is>
      </c>
      <c r="R1" s="53" t="inlineStr">
        <is>
          <t>ExtraFee</t>
        </is>
      </c>
    </row>
    <row r="2" ht="15" customHeight="1" s="43">
      <c r="A2" s="57" t="inlineStr">
        <is>
          <t>Criação de post / card estático (texto e imagem)</t>
        </is>
      </c>
      <c r="B2" s="70" t="n">
        <v>4364</v>
      </c>
      <c r="C2" s="71" t="n">
        <v>1288</v>
      </c>
      <c r="D2" s="71" t="n">
        <v>1619.1</v>
      </c>
      <c r="E2" s="71" t="n">
        <v>2837</v>
      </c>
      <c r="F2" s="71" t="n">
        <v>3500</v>
      </c>
      <c r="G2" s="71" t="n">
        <v>2462</v>
      </c>
      <c r="H2" s="72" t="n"/>
      <c r="I2" s="73" t="n">
        <v>1288</v>
      </c>
      <c r="J2" s="61" t="inlineStr">
        <is>
          <t>A</t>
        </is>
      </c>
      <c r="K2" s="62" t="n"/>
      <c r="L2" s="63" t="n">
        <v>-0.704857928505958</v>
      </c>
      <c r="M2" s="63" t="n">
        <v>-0.628987167736022</v>
      </c>
      <c r="N2" s="63" t="n">
        <v>-0.349908340971586</v>
      </c>
      <c r="O2" s="63" t="n">
        <v>-0.197983501374885</v>
      </c>
      <c r="P2" s="63" t="n">
        <v>-0.435838680109991</v>
      </c>
      <c r="Q2" s="64" t="n">
        <v>511</v>
      </c>
      <c r="R2" s="64" t="n">
        <v>1</v>
      </c>
    </row>
    <row r="3" ht="15" customHeight="1" s="43">
      <c r="A3" s="57" t="inlineStr">
        <is>
          <t>Criação de post / card carrossel / multiproduto</t>
        </is>
      </c>
      <c r="B3" s="70" t="n">
        <v>5866</v>
      </c>
      <c r="C3" s="71" t="n">
        <v>3312</v>
      </c>
      <c r="D3" s="71" t="n">
        <v>2176.3</v>
      </c>
      <c r="E3" s="71" t="n">
        <v>3813</v>
      </c>
      <c r="F3" s="71" t="n">
        <v>4500</v>
      </c>
      <c r="G3" s="71" t="n">
        <v>3162</v>
      </c>
      <c r="H3" s="72" t="n"/>
      <c r="I3" s="73" t="n">
        <v>2176.3</v>
      </c>
      <c r="J3" s="61" t="inlineStr">
        <is>
          <t>B</t>
        </is>
      </c>
      <c r="K3" s="62" t="n"/>
      <c r="L3" s="63" t="n">
        <v>-0.435390385271054</v>
      </c>
      <c r="M3" s="63" t="n">
        <v>-0.628997613365155</v>
      </c>
      <c r="N3" s="63" t="n">
        <v>-0.349982952608251</v>
      </c>
      <c r="O3" s="63" t="n">
        <v>-0.232867371292192</v>
      </c>
      <c r="P3" s="63" t="n">
        <v>-0.460961472894647</v>
      </c>
      <c r="Q3" s="64" t="n">
        <v>56</v>
      </c>
      <c r="R3" s="64" t="n">
        <v>0</v>
      </c>
    </row>
    <row r="4" ht="15" customHeight="1" s="43">
      <c r="A4" s="57" t="inlineStr">
        <is>
          <t>Criação de post com animação 2D</t>
        </is>
      </c>
      <c r="B4" s="70" t="n">
        <v>8729</v>
      </c>
      <c r="C4" s="71" t="n">
        <v>4968</v>
      </c>
      <c r="D4" s="71" t="n">
        <v>2590.7</v>
      </c>
      <c r="E4" s="71" t="n">
        <v>5674</v>
      </c>
      <c r="F4" s="71" t="n">
        <v>5500</v>
      </c>
      <c r="G4" s="71" t="n">
        <v>5400</v>
      </c>
      <c r="H4" s="72" t="n"/>
      <c r="I4" s="73" t="n">
        <v>2590.7</v>
      </c>
      <c r="J4" s="61" t="inlineStr">
        <is>
          <t>B</t>
        </is>
      </c>
      <c r="K4" s="62" t="n"/>
      <c r="L4" s="63" t="n">
        <v>-0.430862641768817</v>
      </c>
      <c r="M4" s="63" t="n">
        <v>-0.703207698476343</v>
      </c>
      <c r="N4" s="63" t="n">
        <v>-0.34998281590102</v>
      </c>
      <c r="O4" s="63" t="n">
        <v>-0.369916370718295</v>
      </c>
      <c r="P4" s="63" t="n">
        <v>-0.381372436705236</v>
      </c>
      <c r="Q4" s="64" t="n">
        <v>0</v>
      </c>
      <c r="R4" s="64" t="n">
        <v>0</v>
      </c>
    </row>
    <row r="5" ht="15" customHeight="1" s="43">
      <c r="A5" s="57" t="inlineStr">
        <is>
          <t>Criação de thumbnail para vídeo</t>
        </is>
      </c>
      <c r="B5" s="70" t="n">
        <v>4364</v>
      </c>
      <c r="C5" s="71" t="n">
        <v>1288</v>
      </c>
      <c r="D5" s="71" t="n">
        <v>1619.1</v>
      </c>
      <c r="E5" s="71" t="n">
        <v>2837</v>
      </c>
      <c r="F5" s="71" t="n">
        <v>3500</v>
      </c>
      <c r="G5" s="71" t="n">
        <v>1900</v>
      </c>
      <c r="H5" s="72" t="n"/>
      <c r="I5" s="73" t="n">
        <v>1288</v>
      </c>
      <c r="J5" s="61" t="inlineStr">
        <is>
          <t>A</t>
        </is>
      </c>
      <c r="K5" s="62" t="n"/>
      <c r="L5" s="63" t="n">
        <v>-0.704857928505958</v>
      </c>
      <c r="M5" s="63" t="n">
        <v>-0.628987167736022</v>
      </c>
      <c r="N5" s="63" t="n">
        <v>-0.349908340971586</v>
      </c>
      <c r="O5" s="63" t="n">
        <v>-0.197983501374885</v>
      </c>
      <c r="P5" s="63" t="n">
        <v>-0.564619615032081</v>
      </c>
      <c r="Q5" s="64" t="n">
        <v>0</v>
      </c>
      <c r="R5" s="64" t="n">
        <v>0</v>
      </c>
    </row>
    <row r="6" ht="15" customHeight="1" s="43">
      <c r="A6" s="57" t="inlineStr">
        <is>
          <t>Criação de post para blog (texto + imagem)</t>
        </is>
      </c>
      <c r="B6" s="70" t="n">
        <v>6546</v>
      </c>
      <c r="C6" s="71" t="n">
        <v>2392</v>
      </c>
      <c r="D6" s="71" t="n">
        <v>2428.65</v>
      </c>
      <c r="E6" s="71" t="n">
        <v>4255</v>
      </c>
      <c r="F6" s="71" t="n">
        <v>4000</v>
      </c>
      <c r="G6" s="71" t="n">
        <v>4540</v>
      </c>
      <c r="H6" s="72" t="n"/>
      <c r="I6" s="73" t="n">
        <v>2392</v>
      </c>
      <c r="J6" s="61" t="inlineStr">
        <is>
          <t>A</t>
        </is>
      </c>
      <c r="K6" s="62" t="n"/>
      <c r="L6" s="63" t="n">
        <v>-0.634586006721662</v>
      </c>
      <c r="M6" s="63" t="n">
        <v>-0.628987167736022</v>
      </c>
      <c r="N6" s="63" t="n">
        <v>-0.349984723495264</v>
      </c>
      <c r="O6" s="63" t="n">
        <v>-0.388939810571341</v>
      </c>
      <c r="P6" s="63" t="n">
        <v>-0.306446684998472</v>
      </c>
      <c r="Q6" s="64" t="n">
        <v>0</v>
      </c>
      <c r="R6" s="64" t="n">
        <v>0</v>
      </c>
    </row>
    <row r="7" ht="15" customHeight="1" s="43">
      <c r="A7" s="57" t="inlineStr">
        <is>
          <t>Produção de texto livre (1.200 toques)</t>
        </is>
      </c>
      <c r="B7" s="70" t="n">
        <v>844</v>
      </c>
      <c r="C7" s="71" t="n">
        <v>552</v>
      </c>
      <c r="D7" s="71" t="n">
        <v>2920.05</v>
      </c>
      <c r="E7" s="71" t="n">
        <v>549</v>
      </c>
      <c r="F7" s="71" t="n">
        <v>4000</v>
      </c>
      <c r="G7" s="71" t="n">
        <v>562.67</v>
      </c>
      <c r="H7" s="72" t="n"/>
      <c r="I7" s="73" t="n">
        <v>549</v>
      </c>
      <c r="J7" s="61" t="inlineStr">
        <is>
          <t>C</t>
        </is>
      </c>
      <c r="K7" s="62" t="n"/>
      <c r="L7" s="63" t="n">
        <v>-0.345971563981043</v>
      </c>
      <c r="M7" s="63" t="n">
        <v>2.45977488151659</v>
      </c>
      <c r="N7" s="63" t="n">
        <v>-0.349526066350711</v>
      </c>
      <c r="O7" s="63" t="n">
        <v>3.739336492891</v>
      </c>
      <c r="P7" s="63" t="n">
        <v>-0.333329383886256</v>
      </c>
      <c r="Q7" s="64" t="n">
        <v>579</v>
      </c>
      <c r="R7" s="64" t="n">
        <v>0</v>
      </c>
    </row>
    <row r="8" ht="15" customHeight="1" s="43">
      <c r="A8" s="57" t="inlineStr">
        <is>
          <t>Branded content / publieditorial</t>
        </is>
      </c>
      <c r="B8" s="70" t="n">
        <v>7946</v>
      </c>
      <c r="C8" s="71" t="n">
        <v>2208</v>
      </c>
      <c r="D8" s="71" t="n">
        <v>2948.05</v>
      </c>
      <c r="E8" s="71" t="n">
        <v>5165</v>
      </c>
      <c r="F8" s="71" t="n">
        <v>6000</v>
      </c>
      <c r="G8" s="74" t="n"/>
      <c r="H8" s="72" t="n"/>
      <c r="I8" s="73" t="n">
        <v>2208</v>
      </c>
      <c r="J8" s="61" t="inlineStr">
        <is>
          <t>A</t>
        </is>
      </c>
      <c r="K8" s="62" t="n"/>
      <c r="L8" s="63" t="n">
        <v>-0.722124339290209</v>
      </c>
      <c r="M8" s="63" t="n">
        <v>-0.628989428643343</v>
      </c>
      <c r="N8" s="63" t="n">
        <v>-0.349987415051598</v>
      </c>
      <c r="O8" s="63" t="n">
        <v>-0.244903095897307</v>
      </c>
      <c r="P8" s="63" t="n">
        <v>-1</v>
      </c>
      <c r="Q8" s="64" t="n">
        <v>0</v>
      </c>
      <c r="R8" s="64" t="n">
        <v>0</v>
      </c>
    </row>
    <row r="9" ht="15" customHeight="1" s="43">
      <c r="A9" s="57" t="inlineStr">
        <is>
          <t>Criação de identidade visual (key visual)</t>
        </is>
      </c>
      <c r="B9" s="70" t="n">
        <v>13554</v>
      </c>
      <c r="C9" s="71" t="n">
        <v>4968</v>
      </c>
      <c r="D9" s="71" t="n">
        <v>5028.45</v>
      </c>
      <c r="E9" s="71" t="n">
        <v>8810</v>
      </c>
      <c r="F9" s="71" t="n">
        <v>11000</v>
      </c>
      <c r="G9" s="71" t="n">
        <v>8800</v>
      </c>
      <c r="H9" s="72" t="n"/>
      <c r="I9" s="73" t="n">
        <v>4968</v>
      </c>
      <c r="J9" s="61" t="inlineStr">
        <is>
          <t>A</t>
        </is>
      </c>
      <c r="K9" s="62" t="n"/>
      <c r="L9" s="63" t="n">
        <v>-0.633466135458167</v>
      </c>
      <c r="M9" s="63" t="n">
        <v>-0.629006197432492</v>
      </c>
      <c r="N9" s="63" t="n">
        <v>-0.350007377895824</v>
      </c>
      <c r="O9" s="63" t="n">
        <v>-0.188431459347794</v>
      </c>
      <c r="P9" s="63" t="n">
        <v>-0.350745167478235</v>
      </c>
      <c r="Q9" s="64" t="n">
        <v>17</v>
      </c>
      <c r="R9" s="64" t="n">
        <v>1</v>
      </c>
    </row>
    <row r="10" ht="15" customHeight="1" s="43">
      <c r="A10" s="57" t="inlineStr">
        <is>
          <t>Criação de tema / conceito de campanha</t>
        </is>
      </c>
      <c r="B10" s="70" t="n">
        <v>27108</v>
      </c>
      <c r="C10" s="71" t="n">
        <v>1840</v>
      </c>
      <c r="D10" s="71" t="n">
        <v>10056.9</v>
      </c>
      <c r="E10" s="71" t="n">
        <v>17620</v>
      </c>
      <c r="F10" s="71" t="n">
        <v>18000</v>
      </c>
      <c r="G10" s="71" t="n">
        <v>25800</v>
      </c>
      <c r="H10" s="72" t="n"/>
      <c r="I10" s="73" t="n">
        <v>1840</v>
      </c>
      <c r="J10" s="61" t="inlineStr">
        <is>
          <t>A</t>
        </is>
      </c>
      <c r="K10" s="62" t="n"/>
      <c r="L10" s="63" t="n">
        <v>-0.9321233584181789</v>
      </c>
      <c r="M10" s="63" t="n">
        <v>-0.629006197432492</v>
      </c>
      <c r="N10" s="63" t="n">
        <v>-0.350007377895824</v>
      </c>
      <c r="O10" s="63" t="n">
        <v>-0.335989375830013</v>
      </c>
      <c r="P10" s="63" t="n">
        <v>-0.0482514386896857</v>
      </c>
      <c r="Q10" s="64" t="n">
        <v>5</v>
      </c>
      <c r="R10" s="64" t="n">
        <v>0</v>
      </c>
    </row>
    <row r="11" ht="15" customHeight="1" s="43">
      <c r="A11" s="57" t="inlineStr">
        <is>
          <t>Slogan</t>
        </is>
      </c>
      <c r="B11" s="70" t="n">
        <v>14545</v>
      </c>
      <c r="C11" s="71" t="n">
        <v>1104</v>
      </c>
      <c r="D11" s="71" t="n">
        <v>5396.3</v>
      </c>
      <c r="E11" s="71" t="n">
        <v>9454</v>
      </c>
      <c r="F11" s="71" t="n">
        <v>9000</v>
      </c>
      <c r="G11" s="71" t="n">
        <v>12000</v>
      </c>
      <c r="H11" s="72" t="n"/>
      <c r="I11" s="73" t="n">
        <v>1104</v>
      </c>
      <c r="J11" s="61" t="inlineStr">
        <is>
          <t>A</t>
        </is>
      </c>
      <c r="K11" s="62" t="n"/>
      <c r="L11" s="63" t="n">
        <v>-0.924097628050877</v>
      </c>
      <c r="M11" s="63" t="n">
        <v>-0.628992781024407</v>
      </c>
      <c r="N11" s="63" t="n">
        <v>-0.350017188037126</v>
      </c>
      <c r="O11" s="63" t="n">
        <v>-0.381230663458233</v>
      </c>
      <c r="P11" s="63" t="n">
        <v>-0.174974217944311</v>
      </c>
      <c r="Q11" s="64" t="n">
        <v>0</v>
      </c>
      <c r="R11" s="64" t="n">
        <v>0</v>
      </c>
    </row>
    <row r="12" ht="15" customHeight="1" s="43">
      <c r="A12" s="57" t="inlineStr">
        <is>
          <t>Moodboard</t>
        </is>
      </c>
      <c r="B12" s="70" t="n">
        <v>11785</v>
      </c>
      <c r="C12" s="71" t="n">
        <v>736</v>
      </c>
      <c r="D12" s="71" t="n">
        <v>4372.2</v>
      </c>
      <c r="E12" s="71" t="n">
        <v>7660</v>
      </c>
      <c r="F12" s="71" t="n">
        <v>8000</v>
      </c>
      <c r="G12" s="71" t="n">
        <v>7890</v>
      </c>
      <c r="H12" s="72" t="n"/>
      <c r="I12" s="73" t="n">
        <v>736</v>
      </c>
      <c r="J12" s="61" t="inlineStr">
        <is>
          <t>A</t>
        </is>
      </c>
      <c r="K12" s="62" t="n"/>
      <c r="L12" s="63" t="n">
        <v>-0.937547730165465</v>
      </c>
      <c r="M12" s="63" t="n">
        <v>-0.629002969876962</v>
      </c>
      <c r="N12" s="63" t="n">
        <v>-0.350021213406873</v>
      </c>
      <c r="O12" s="63" t="n">
        <v>-0.321170980059398</v>
      </c>
      <c r="P12" s="63" t="n">
        <v>-0.330504879083581</v>
      </c>
      <c r="Q12" s="64" t="n">
        <v>0</v>
      </c>
      <c r="R12" s="64" t="n">
        <v>0</v>
      </c>
    </row>
    <row r="13" ht="15" customHeight="1" s="43">
      <c r="A13" s="57" t="inlineStr">
        <is>
          <t>Planejamento de comunicação integrada</t>
        </is>
      </c>
      <c r="B13" s="70" t="n">
        <v>117535</v>
      </c>
      <c r="C13" s="71" t="n">
        <v>35000</v>
      </c>
      <c r="D13" s="71" t="n">
        <v>10901.45</v>
      </c>
      <c r="E13" s="71" t="n">
        <v>19100</v>
      </c>
      <c r="F13" s="71" t="n">
        <v>18000</v>
      </c>
      <c r="G13" s="71" t="n">
        <v>25000</v>
      </c>
      <c r="H13" s="72" t="n"/>
      <c r="I13" s="73" t="n">
        <v>10901.45</v>
      </c>
      <c r="J13" s="61" t="inlineStr">
        <is>
          <t>B</t>
        </is>
      </c>
      <c r="K13" s="62" t="n"/>
      <c r="L13" s="63" t="n">
        <v>-0.702216361083933</v>
      </c>
      <c r="M13" s="63" t="n">
        <v>-0.907249329986812</v>
      </c>
      <c r="N13" s="63" t="n">
        <v>-0.837495214191517</v>
      </c>
      <c r="O13" s="63" t="n">
        <v>-0.846854128557451</v>
      </c>
      <c r="P13" s="63" t="n">
        <v>-0.787297400774238</v>
      </c>
      <c r="Q13" s="64" t="n">
        <v>1</v>
      </c>
      <c r="R13" s="64" t="n">
        <v>0</v>
      </c>
    </row>
    <row r="14" ht="15" customHeight="1" s="43">
      <c r="A14" s="57" t="inlineStr">
        <is>
          <t>Planejamento de campanha</t>
        </is>
      </c>
      <c r="B14" s="70" t="n">
        <v>58768</v>
      </c>
      <c r="C14" s="71" t="n">
        <v>4416</v>
      </c>
      <c r="D14" s="71" t="n">
        <v>5450.55</v>
      </c>
      <c r="E14" s="71" t="n">
        <v>9550</v>
      </c>
      <c r="F14" s="71" t="n">
        <v>10000</v>
      </c>
      <c r="G14" s="71" t="n">
        <v>12800</v>
      </c>
      <c r="H14" s="72" t="n"/>
      <c r="I14" s="73" t="n">
        <v>4416</v>
      </c>
      <c r="J14" s="61" t="inlineStr">
        <is>
          <t>A</t>
        </is>
      </c>
      <c r="K14" s="62" t="n"/>
      <c r="L14" s="63" t="n">
        <v>-0.924857065069426</v>
      </c>
      <c r="M14" s="63" t="n">
        <v>-0.907253096923496</v>
      </c>
      <c r="N14" s="63" t="n">
        <v>-0.837496596787367</v>
      </c>
      <c r="O14" s="63" t="n">
        <v>-0.829839368363735</v>
      </c>
      <c r="P14" s="63" t="n">
        <v>-0.782194391505581</v>
      </c>
      <c r="Q14" s="64" t="n">
        <v>8</v>
      </c>
      <c r="R14" s="64" t="n">
        <v>1</v>
      </c>
    </row>
    <row r="15" ht="15" customHeight="1" s="43">
      <c r="A15" s="57" t="inlineStr">
        <is>
          <t>Planejamento de mídia</t>
        </is>
      </c>
      <c r="B15" s="70" t="n">
        <v>41136</v>
      </c>
      <c r="C15" s="71" t="n">
        <v>15000</v>
      </c>
      <c r="D15" s="71" t="n">
        <v>3816.05</v>
      </c>
      <c r="E15" s="71" t="n">
        <v>6686</v>
      </c>
      <c r="F15" s="71" t="n">
        <v>8000</v>
      </c>
      <c r="G15" s="71" t="n">
        <v>8760</v>
      </c>
      <c r="H15" s="72" t="n"/>
      <c r="I15" s="73" t="n">
        <v>3816.05</v>
      </c>
      <c r="J15" s="61" t="inlineStr">
        <is>
          <t>B</t>
        </is>
      </c>
      <c r="K15" s="62" t="n"/>
      <c r="L15" s="63" t="n">
        <v>-0.635355892648775</v>
      </c>
      <c r="M15" s="63" t="n">
        <v>-0.907233323609491</v>
      </c>
      <c r="N15" s="63" t="n">
        <v>-0.837465966549981</v>
      </c>
      <c r="O15" s="63" t="n">
        <v>-0.805523142746013</v>
      </c>
      <c r="P15" s="63" t="n">
        <v>-0.787047841306884</v>
      </c>
      <c r="Q15" s="64" t="n">
        <v>17</v>
      </c>
      <c r="R15" s="64" t="n">
        <v>0</v>
      </c>
    </row>
    <row r="16" ht="15" customHeight="1" s="43">
      <c r="A16" s="57" t="inlineStr">
        <is>
          <t>Planejamento de ação promocional</t>
        </is>
      </c>
      <c r="B16" s="70" t="n">
        <v>41136</v>
      </c>
      <c r="C16" s="71" t="n">
        <v>5500</v>
      </c>
      <c r="D16" s="71" t="n">
        <v>15261.75</v>
      </c>
      <c r="E16" s="71" t="n">
        <v>26738</v>
      </c>
      <c r="F16" s="71" t="n">
        <v>28000</v>
      </c>
      <c r="G16" s="71" t="n">
        <v>37258</v>
      </c>
      <c r="H16" s="72" t="n"/>
      <c r="I16" s="73" t="n">
        <v>5500</v>
      </c>
      <c r="J16" s="61" t="inlineStr">
        <is>
          <t>A</t>
        </is>
      </c>
      <c r="K16" s="62" t="n"/>
      <c r="L16" s="63" t="n">
        <v>-0.866297160637884</v>
      </c>
      <c r="M16" s="63" t="n">
        <v>-0.628992852975496</v>
      </c>
      <c r="N16" s="63" t="n">
        <v>-0.350009723842863</v>
      </c>
      <c r="O16" s="63" t="n">
        <v>-0.319330999611046</v>
      </c>
      <c r="P16" s="63" t="n">
        <v>-0.0942726565538701</v>
      </c>
      <c r="Q16" s="64" t="n">
        <v>0</v>
      </c>
      <c r="R16" s="64" t="n">
        <v>0</v>
      </c>
    </row>
    <row r="17" ht="15" customHeight="1" s="43">
      <c r="A17" s="57" t="inlineStr">
        <is>
          <t>Planejamento de eventos / feiras</t>
        </is>
      </c>
      <c r="B17" s="70" t="n">
        <v>58766</v>
      </c>
      <c r="C17" s="71" t="n">
        <v>6500</v>
      </c>
      <c r="D17" s="71" t="n">
        <v>21802.2</v>
      </c>
      <c r="E17" s="71" t="n">
        <v>38198</v>
      </c>
      <c r="F17" s="71" t="n">
        <v>35000</v>
      </c>
      <c r="G17" s="71" t="n">
        <v>53592</v>
      </c>
      <c r="H17" s="72" t="n"/>
      <c r="I17" s="73" t="n">
        <v>6500</v>
      </c>
      <c r="J17" s="61" t="inlineStr">
        <is>
          <t>A</t>
        </is>
      </c>
      <c r="K17" s="62" t="n"/>
      <c r="L17" s="63" t="n">
        <v>-0.889391825205051</v>
      </c>
      <c r="M17" s="63" t="n">
        <v>-0.628999761767008</v>
      </c>
      <c r="N17" s="63" t="n">
        <v>-0.349998298335772</v>
      </c>
      <c r="O17" s="63" t="n">
        <v>-0.404417520334888</v>
      </c>
      <c r="P17" s="63" t="n">
        <v>-0.08804410713677981</v>
      </c>
      <c r="Q17" s="64" t="n">
        <v>1</v>
      </c>
      <c r="R17" s="64" t="n">
        <v>0</v>
      </c>
    </row>
    <row r="18" ht="15" customHeight="1" s="43">
      <c r="A18" s="57" t="inlineStr">
        <is>
          <t>Planejamento de brindes</t>
        </is>
      </c>
      <c r="B18" s="70" t="n">
        <v>29383</v>
      </c>
      <c r="C18" s="71" t="n">
        <v>2500</v>
      </c>
      <c r="D18" s="71" t="n">
        <v>10901.45</v>
      </c>
      <c r="E18" s="71" t="n">
        <v>19099</v>
      </c>
      <c r="F18" s="71" t="n">
        <v>7000</v>
      </c>
      <c r="G18" s="71" t="n">
        <v>26173</v>
      </c>
      <c r="H18" s="72" t="n"/>
      <c r="I18" s="73" t="n">
        <v>2500</v>
      </c>
      <c r="J18" s="61" t="inlineStr">
        <is>
          <t>A</t>
        </is>
      </c>
      <c r="K18" s="62" t="n"/>
      <c r="L18" s="63" t="n">
        <v>-0.9149167886192699</v>
      </c>
      <c r="M18" s="63" t="n">
        <v>-0.628987850117415</v>
      </c>
      <c r="N18" s="63" t="n">
        <v>-0.349998298335772</v>
      </c>
      <c r="O18" s="63" t="n">
        <v>-0.761767008133955</v>
      </c>
      <c r="P18" s="63" t="n">
        <v>-0.109246843412858</v>
      </c>
      <c r="Q18" s="64" t="n">
        <v>0</v>
      </c>
      <c r="R18" s="64" t="n">
        <v>0</v>
      </c>
    </row>
    <row r="19" ht="15" customHeight="1" s="43">
      <c r="A19" s="57" t="inlineStr">
        <is>
          <t>Planejamento para redes sociais</t>
        </is>
      </c>
      <c r="B19" s="70" t="n">
        <v>25754</v>
      </c>
      <c r="C19" s="71" t="n">
        <v>4416</v>
      </c>
      <c r="D19" s="71" t="n">
        <v>1359.4</v>
      </c>
      <c r="E19" s="71" t="n">
        <v>16740</v>
      </c>
      <c r="F19" s="71" t="n">
        <v>18000</v>
      </c>
      <c r="G19" s="71" t="n">
        <v>13400</v>
      </c>
      <c r="H19" s="72" t="n"/>
      <c r="I19" s="73" t="n">
        <v>1359.4</v>
      </c>
      <c r="J19" s="61" t="inlineStr">
        <is>
          <t>B</t>
        </is>
      </c>
      <c r="K19" s="62" t="n"/>
      <c r="L19" s="63" t="n">
        <v>-0.828531490253941</v>
      </c>
      <c r="M19" s="63" t="n">
        <v>-0.9472159664518131</v>
      </c>
      <c r="N19" s="63" t="n">
        <v>-0.350003882891978</v>
      </c>
      <c r="O19" s="63" t="n">
        <v>-0.301079443969869</v>
      </c>
      <c r="P19" s="63" t="n">
        <v>-0.479692474955347</v>
      </c>
      <c r="Q19" s="64" t="n">
        <v>10</v>
      </c>
      <c r="R19" s="64" t="n">
        <v>0</v>
      </c>
    </row>
    <row r="20" ht="15" customHeight="1" s="43">
      <c r="A20" s="57" t="inlineStr">
        <is>
          <t>Diagnóstico da presença digital</t>
        </is>
      </c>
      <c r="B20" s="70" t="n">
        <v>20767</v>
      </c>
      <c r="C20" s="71" t="n">
        <v>367</v>
      </c>
      <c r="D20" s="71" t="n">
        <v>7704.55</v>
      </c>
      <c r="E20" s="71" t="n">
        <v>13499</v>
      </c>
      <c r="F20" s="71" t="n">
        <v>15000</v>
      </c>
      <c r="G20" s="71" t="n">
        <v>19500</v>
      </c>
      <c r="H20" s="72" t="n"/>
      <c r="I20" s="73" t="n">
        <v>367</v>
      </c>
      <c r="J20" s="61" t="inlineStr">
        <is>
          <t>A</t>
        </is>
      </c>
      <c r="K20" s="62" t="n"/>
      <c r="L20" s="63" t="n">
        <v>-0.982327731497087</v>
      </c>
      <c r="M20" s="63" t="n">
        <v>-0.629000337073241</v>
      </c>
      <c r="N20" s="63" t="n">
        <v>-0.349978331005923</v>
      </c>
      <c r="O20" s="63" t="n">
        <v>-0.277700197428613</v>
      </c>
      <c r="P20" s="63" t="n">
        <v>-0.0610102566571965</v>
      </c>
      <c r="Q20" s="64" t="n">
        <v>1</v>
      </c>
      <c r="R20" s="64" t="n">
        <v>0</v>
      </c>
    </row>
    <row r="21" ht="15" customHeight="1" s="43">
      <c r="A21" s="57" t="inlineStr">
        <is>
          <t>Análise estratégica de dados</t>
        </is>
      </c>
      <c r="B21" s="70" t="n">
        <v>14692</v>
      </c>
      <c r="C21" s="71" t="n">
        <v>5500</v>
      </c>
      <c r="D21" s="71" t="n">
        <v>5450.55</v>
      </c>
      <c r="E21" s="71" t="n">
        <v>9550</v>
      </c>
      <c r="F21" s="71" t="n">
        <v>11000</v>
      </c>
      <c r="G21" s="71" t="n">
        <v>4200</v>
      </c>
      <c r="H21" s="72" t="n"/>
      <c r="I21" s="73" t="n">
        <v>4200</v>
      </c>
      <c r="J21" s="61" t="inlineStr">
        <is>
          <t>E</t>
        </is>
      </c>
      <c r="K21" s="62" t="n"/>
      <c r="L21" s="63" t="n">
        <v>-0.625646610400218</v>
      </c>
      <c r="M21" s="63" t="n">
        <v>-0.629012387693983</v>
      </c>
      <c r="N21" s="63" t="n">
        <v>-0.349986387149469</v>
      </c>
      <c r="O21" s="63" t="n">
        <v>-0.251293220800436</v>
      </c>
      <c r="P21" s="63" t="n">
        <v>-0.714130138851076</v>
      </c>
      <c r="Q21" s="64" t="n">
        <v>4</v>
      </c>
      <c r="R21" s="64" t="n">
        <v>0</v>
      </c>
    </row>
    <row r="22" ht="15" customHeight="1" s="43">
      <c r="A22" s="57" t="inlineStr">
        <is>
          <t>Relatório de campanha</t>
        </is>
      </c>
      <c r="B22" s="70" t="n">
        <v>11455</v>
      </c>
      <c r="C22" s="71" t="n">
        <v>4048</v>
      </c>
      <c r="D22" s="71" t="n">
        <v>4250.05</v>
      </c>
      <c r="E22" s="71" t="n">
        <v>7446</v>
      </c>
      <c r="F22" s="71" t="n">
        <v>8000</v>
      </c>
      <c r="G22" s="71" t="n">
        <v>2800</v>
      </c>
      <c r="H22" s="72" t="n"/>
      <c r="I22" s="73" t="n">
        <v>2800</v>
      </c>
      <c r="J22" s="61" t="inlineStr">
        <is>
          <t>E</t>
        </is>
      </c>
      <c r="K22" s="62" t="n"/>
      <c r="L22" s="63" t="n">
        <v>-0.6466171977302489</v>
      </c>
      <c r="M22" s="63" t="n">
        <v>-0.6289786119598429</v>
      </c>
      <c r="N22" s="63" t="n">
        <v>-0.349978175469227</v>
      </c>
      <c r="O22" s="63" t="n">
        <v>-0.301615015277172</v>
      </c>
      <c r="P22" s="63" t="n">
        <v>-0.75556525534701</v>
      </c>
      <c r="Q22" s="64" t="n">
        <v>4</v>
      </c>
      <c r="R22" s="64" t="n">
        <v>0</v>
      </c>
    </row>
    <row r="23" ht="15" customHeight="1" s="43">
      <c r="A23" s="57" t="inlineStr">
        <is>
          <t>Monitoramento e relatório mensal</t>
        </is>
      </c>
      <c r="B23" s="70" t="n">
        <v>6615</v>
      </c>
      <c r="C23" s="71" t="n">
        <v>4500</v>
      </c>
      <c r="D23" s="71" t="n">
        <v>2454.2</v>
      </c>
      <c r="E23" s="71" t="n">
        <v>4300</v>
      </c>
      <c r="F23" s="71" t="n">
        <v>5000</v>
      </c>
      <c r="G23" s="71" t="n">
        <v>10900</v>
      </c>
      <c r="H23" s="72" t="n"/>
      <c r="I23" s="73" t="n">
        <v>2454.2</v>
      </c>
      <c r="J23" s="61" t="inlineStr">
        <is>
          <t>B</t>
        </is>
      </c>
      <c r="K23" s="62" t="n"/>
      <c r="L23" s="63" t="n">
        <v>-0.319727891156463</v>
      </c>
      <c r="M23" s="63" t="n">
        <v>-0.628994708994709</v>
      </c>
      <c r="N23" s="63" t="n">
        <v>-0.349962207105064</v>
      </c>
      <c r="O23" s="63" t="n">
        <v>-0.244142101284958</v>
      </c>
      <c r="P23" s="63" t="n">
        <v>0.647770219198791</v>
      </c>
      <c r="Q23" s="64" t="n">
        <v>12</v>
      </c>
      <c r="R23" s="64" t="n">
        <v>0</v>
      </c>
    </row>
    <row r="24" ht="15" customHeight="1" s="43">
      <c r="A24" s="57" t="inlineStr">
        <is>
          <t>Banner / cartaz / pôster (criação)</t>
        </is>
      </c>
      <c r="B24" s="70" t="n">
        <v>5715</v>
      </c>
      <c r="C24" s="71" t="n">
        <v>1104</v>
      </c>
      <c r="D24" s="71" t="n">
        <v>2120.3</v>
      </c>
      <c r="E24" s="71" t="n">
        <v>3715</v>
      </c>
      <c r="F24" s="71" t="n">
        <v>4000</v>
      </c>
      <c r="G24" s="71" t="n">
        <v>2187</v>
      </c>
      <c r="H24" s="72" t="n"/>
      <c r="I24" s="73" t="n">
        <v>1104</v>
      </c>
      <c r="J24" s="61" t="inlineStr">
        <is>
          <t>A</t>
        </is>
      </c>
      <c r="K24" s="62" t="n"/>
      <c r="L24" s="63" t="n">
        <v>-0.806824146981627</v>
      </c>
      <c r="M24" s="63" t="n">
        <v>-0.628993875765529</v>
      </c>
      <c r="N24" s="63" t="n">
        <v>-0.349956255468067</v>
      </c>
      <c r="O24" s="63" t="n">
        <v>-0.300087489063867</v>
      </c>
      <c r="P24" s="63" t="n">
        <v>-0.6173228346456689</v>
      </c>
      <c r="Q24" s="64" t="n">
        <v>35</v>
      </c>
      <c r="R24" s="64" t="n">
        <v>1</v>
      </c>
    </row>
    <row r="25" ht="15" customHeight="1" s="43">
      <c r="A25" s="57" t="inlineStr">
        <is>
          <t>Flyer / volante (criação)</t>
        </is>
      </c>
      <c r="B25" s="70" t="n">
        <v>4572</v>
      </c>
      <c r="C25" s="71" t="n">
        <v>1656</v>
      </c>
      <c r="D25" s="71" t="n">
        <v>1696.1</v>
      </c>
      <c r="E25" s="71" t="n">
        <v>2972</v>
      </c>
      <c r="F25" s="71" t="n">
        <v>3500</v>
      </c>
      <c r="G25" s="71" t="n">
        <v>1700</v>
      </c>
      <c r="H25" s="72" t="n"/>
      <c r="I25" s="73" t="n">
        <v>1656</v>
      </c>
      <c r="J25" s="61" t="inlineStr">
        <is>
          <t>A</t>
        </is>
      </c>
      <c r="K25" s="62" t="n"/>
      <c r="L25" s="63" t="n">
        <v>-0.637795275590551</v>
      </c>
      <c r="M25" s="63" t="n">
        <v>-0.629024496937883</v>
      </c>
      <c r="N25" s="63" t="n">
        <v>-0.349956255468067</v>
      </c>
      <c r="O25" s="63" t="n">
        <v>-0.234470691163605</v>
      </c>
      <c r="P25" s="63" t="n">
        <v>-0.628171478565179</v>
      </c>
      <c r="Q25" s="64" t="n">
        <v>13</v>
      </c>
      <c r="R25" s="64" t="n">
        <v>0</v>
      </c>
    </row>
    <row r="26" ht="15" customHeight="1" s="43">
      <c r="A26" s="57" t="inlineStr">
        <is>
          <t>Folder (criação)</t>
        </is>
      </c>
      <c r="B26" s="70" t="n">
        <v>8868</v>
      </c>
      <c r="C26" s="71" t="n">
        <v>3496</v>
      </c>
      <c r="D26" s="71" t="n">
        <v>3290</v>
      </c>
      <c r="E26" s="71" t="n">
        <v>5764</v>
      </c>
      <c r="F26" s="71" t="n">
        <v>7000</v>
      </c>
      <c r="G26" s="71" t="n">
        <v>3645</v>
      </c>
      <c r="H26" s="72" t="n"/>
      <c r="I26" s="73" t="n">
        <v>3290</v>
      </c>
      <c r="J26" s="61" t="inlineStr">
        <is>
          <t>B</t>
        </is>
      </c>
      <c r="K26" s="62" t="n"/>
      <c r="L26" s="63" t="n">
        <v>-0.605773567884529</v>
      </c>
      <c r="M26" s="63" t="n">
        <v>-0.629003157419937</v>
      </c>
      <c r="N26" s="63" t="n">
        <v>-0.350022552999549</v>
      </c>
      <c r="O26" s="63" t="n">
        <v>-0.2106450157871</v>
      </c>
      <c r="P26" s="63" t="n">
        <v>-0.588971583220568</v>
      </c>
      <c r="Q26" s="64" t="n">
        <v>15</v>
      </c>
      <c r="R26" s="64" t="n">
        <v>1</v>
      </c>
    </row>
    <row r="27" ht="15" customHeight="1" s="43">
      <c r="A27" s="57" t="inlineStr">
        <is>
          <t>Mala direta</t>
        </is>
      </c>
      <c r="B27" s="70" t="n">
        <v>7122</v>
      </c>
      <c r="C27" s="71" t="n">
        <v>1840</v>
      </c>
      <c r="D27" s="71" t="n">
        <v>2642.15</v>
      </c>
      <c r="E27" s="71" t="n">
        <v>4629</v>
      </c>
      <c r="F27" s="71" t="n">
        <v>5000</v>
      </c>
      <c r="G27" s="71" t="n">
        <v>6800</v>
      </c>
      <c r="H27" s="72" t="n"/>
      <c r="I27" s="73" t="n">
        <v>1840</v>
      </c>
      <c r="J27" s="61" t="inlineStr">
        <is>
          <t>A</t>
        </is>
      </c>
      <c r="K27" s="62" t="n"/>
      <c r="L27" s="63" t="n">
        <v>-0.741645605167088</v>
      </c>
      <c r="M27" s="63" t="n">
        <v>-0.629015725919686</v>
      </c>
      <c r="N27" s="63" t="n">
        <v>-0.350042122999158</v>
      </c>
      <c r="O27" s="63" t="n">
        <v>-0.297950014041</v>
      </c>
      <c r="P27" s="63" t="n">
        <v>-0.0452120190957597</v>
      </c>
      <c r="Q27" s="64" t="n">
        <v>0</v>
      </c>
      <c r="R27" s="64" t="n">
        <v>0</v>
      </c>
    </row>
    <row r="28" ht="15" customHeight="1" s="43">
      <c r="A28" s="57" t="inlineStr">
        <is>
          <t>Email marketing (imagem)</t>
        </is>
      </c>
      <c r="B28" s="70" t="n">
        <v>3824</v>
      </c>
      <c r="C28" s="71" t="n">
        <v>1104</v>
      </c>
      <c r="D28" s="71" t="n">
        <v>1418.9</v>
      </c>
      <c r="E28" s="71" t="n">
        <v>2486</v>
      </c>
      <c r="F28" s="71" t="n">
        <v>2500</v>
      </c>
      <c r="G28" s="71" t="n">
        <v>2430</v>
      </c>
      <c r="H28" s="72" t="n"/>
      <c r="I28" s="73" t="n">
        <v>1104</v>
      </c>
      <c r="J28" s="61" t="inlineStr">
        <is>
          <t>A</t>
        </is>
      </c>
      <c r="K28" s="62" t="n"/>
      <c r="L28" s="63" t="n">
        <v>-0.711297071129707</v>
      </c>
      <c r="M28" s="63" t="n">
        <v>-0.6289487447698749</v>
      </c>
      <c r="N28" s="63" t="n">
        <v>-0.34989539748954</v>
      </c>
      <c r="O28" s="63" t="n">
        <v>-0.346234309623431</v>
      </c>
      <c r="P28" s="63" t="n">
        <v>-0.364539748953975</v>
      </c>
      <c r="Q28" s="64" t="n">
        <v>32</v>
      </c>
      <c r="R28" s="64" t="n">
        <v>0</v>
      </c>
    </row>
    <row r="29" ht="15" customHeight="1" s="43">
      <c r="A29" s="57" t="inlineStr">
        <is>
          <t>Infográfico (JPG / HTML)</t>
        </is>
      </c>
      <c r="B29" s="70" t="n">
        <v>11904</v>
      </c>
      <c r="C29" s="71" t="n">
        <v>4048</v>
      </c>
      <c r="D29" s="71" t="n">
        <v>4416.65</v>
      </c>
      <c r="E29" s="71" t="n">
        <v>7738</v>
      </c>
      <c r="F29" s="71" t="n">
        <v>8000</v>
      </c>
      <c r="G29" s="71" t="n">
        <v>6200</v>
      </c>
      <c r="H29" s="72" t="n"/>
      <c r="I29" s="73" t="n">
        <v>4048</v>
      </c>
      <c r="J29" s="61" t="inlineStr">
        <is>
          <t>A</t>
        </is>
      </c>
      <c r="K29" s="62" t="n"/>
      <c r="L29" s="63" t="n">
        <v>-0.65994623655914</v>
      </c>
      <c r="M29" s="63" t="n">
        <v>-0.628977654569893</v>
      </c>
      <c r="N29" s="63" t="n">
        <v>-0.349966397849462</v>
      </c>
      <c r="O29" s="63" t="n">
        <v>-0.327956989247312</v>
      </c>
      <c r="P29" s="63" t="n">
        <v>-0.479166666666667</v>
      </c>
      <c r="Q29" s="64" t="n">
        <v>6</v>
      </c>
      <c r="R29" s="64" t="n">
        <v>2</v>
      </c>
    </row>
    <row r="30" ht="15" customHeight="1" s="43">
      <c r="A30" s="57" t="inlineStr">
        <is>
          <t>Tabelas / gráficos</t>
        </is>
      </c>
      <c r="B30" s="70" t="n">
        <v>4216</v>
      </c>
      <c r="C30" s="71" t="n">
        <v>1104</v>
      </c>
      <c r="D30" s="71" t="n">
        <v>1564.15</v>
      </c>
      <c r="E30" s="71" t="n">
        <v>826</v>
      </c>
      <c r="F30" s="71" t="n">
        <v>3000</v>
      </c>
      <c r="G30" s="71" t="n">
        <v>1080</v>
      </c>
      <c r="H30" s="72" t="n"/>
      <c r="I30" s="73" t="n">
        <v>826</v>
      </c>
      <c r="J30" s="61" t="inlineStr">
        <is>
          <t>C</t>
        </is>
      </c>
      <c r="K30" s="62" t="n"/>
      <c r="L30" s="63" t="n">
        <v>-0.738140417457306</v>
      </c>
      <c r="M30" s="63" t="n">
        <v>-0.628996679316888</v>
      </c>
      <c r="N30" s="63" t="n">
        <v>-0.804079696394687</v>
      </c>
      <c r="O30" s="63" t="n">
        <v>-0.28842504743833</v>
      </c>
      <c r="P30" s="63" t="n">
        <v>-0.743833017077799</v>
      </c>
      <c r="Q30" s="64" t="n">
        <v>0</v>
      </c>
      <c r="R30" s="64" t="n">
        <v>0</v>
      </c>
    </row>
    <row r="31" ht="15" customHeight="1" s="43">
      <c r="A31" s="57" t="inlineStr">
        <is>
          <t>Apresentação multimídia (projeto gráfico)</t>
        </is>
      </c>
      <c r="B31" s="70" t="n">
        <v>25684</v>
      </c>
      <c r="C31" s="71" t="n">
        <v>4784</v>
      </c>
      <c r="D31" s="71" t="n">
        <v>9528.75</v>
      </c>
      <c r="E31" s="71" t="n">
        <v>16695</v>
      </c>
      <c r="F31" s="71" t="n">
        <v>18000</v>
      </c>
      <c r="G31" s="71" t="n">
        <v>18900</v>
      </c>
      <c r="H31" s="72" t="n"/>
      <c r="I31" s="73" t="n">
        <v>4784</v>
      </c>
      <c r="J31" s="61" t="inlineStr">
        <is>
          <t>A</t>
        </is>
      </c>
      <c r="K31" s="62" t="n"/>
      <c r="L31" s="63" t="n">
        <v>-0.813736178165395</v>
      </c>
      <c r="M31" s="63" t="n">
        <v>-0.629000545086435</v>
      </c>
      <c r="N31" s="63" t="n">
        <v>-0.349984426101853</v>
      </c>
      <c r="O31" s="63" t="n">
        <v>-0.299174583398225</v>
      </c>
      <c r="P31" s="63" t="n">
        <v>-0.264133312568136</v>
      </c>
      <c r="Q31" s="64" t="n">
        <v>3</v>
      </c>
      <c r="R31" s="64" t="n">
        <v>0</v>
      </c>
    </row>
    <row r="32" ht="15" customHeight="1" s="43">
      <c r="A32" s="57" t="inlineStr">
        <is>
          <t>Apresentação multimídia (slide adicional)</t>
        </is>
      </c>
      <c r="B32" s="70" t="n">
        <v>5137</v>
      </c>
      <c r="C32" s="71" t="n">
        <v>368</v>
      </c>
      <c r="D32" s="71" t="n">
        <v>1905.75</v>
      </c>
      <c r="E32" s="71" t="n">
        <v>3339</v>
      </c>
      <c r="F32" s="71" t="n">
        <v>3500</v>
      </c>
      <c r="G32" s="71" t="n">
        <v>880</v>
      </c>
      <c r="H32" s="72" t="n"/>
      <c r="I32" s="73" t="n">
        <v>368</v>
      </c>
      <c r="J32" s="61" t="inlineStr">
        <is>
          <t>A</t>
        </is>
      </c>
      <c r="K32" s="62" t="n"/>
      <c r="L32" s="63" t="n">
        <v>-0.928362857699046</v>
      </c>
      <c r="M32" s="63" t="n">
        <v>-0.629014989293362</v>
      </c>
      <c r="N32" s="63" t="n">
        <v>-0.350009733307378</v>
      </c>
      <c r="O32" s="63" t="n">
        <v>-0.318668483550711</v>
      </c>
      <c r="P32" s="63" t="n">
        <v>-0.828693790149893</v>
      </c>
      <c r="Q32" s="64" t="n">
        <v>0</v>
      </c>
      <c r="R32" s="64" t="n">
        <v>0</v>
      </c>
    </row>
    <row r="33" ht="15" customHeight="1" s="43">
      <c r="A33" s="57" t="inlineStr">
        <is>
          <t>Landing page</t>
        </is>
      </c>
      <c r="B33" s="70" t="n">
        <v>25419</v>
      </c>
      <c r="C33" s="71" t="n">
        <v>8096</v>
      </c>
      <c r="D33" s="71" t="n">
        <v>6565.3</v>
      </c>
      <c r="E33" s="71" t="n">
        <v>11502</v>
      </c>
      <c r="F33" s="71" t="n">
        <v>14000</v>
      </c>
      <c r="G33" s="71" t="n">
        <v>7290</v>
      </c>
      <c r="H33" s="72" t="n"/>
      <c r="I33" s="73" t="n">
        <v>6565.3</v>
      </c>
      <c r="J33" s="61" t="inlineStr">
        <is>
          <t>B</t>
        </is>
      </c>
      <c r="K33" s="62" t="n"/>
      <c r="L33" s="63" t="n">
        <v>-0.681498091978441</v>
      </c>
      <c r="M33" s="63" t="n">
        <v>-0.741716825996302</v>
      </c>
      <c r="N33" s="63" t="n">
        <v>-0.547503835713443</v>
      </c>
      <c r="O33" s="63" t="n">
        <v>-0.449230890278925</v>
      </c>
      <c r="P33" s="63" t="n">
        <v>-0.713206656438097</v>
      </c>
      <c r="Q33" s="64" t="n">
        <v>3</v>
      </c>
      <c r="R33" s="64" t="n">
        <v>2</v>
      </c>
    </row>
    <row r="34" ht="15" customHeight="1" s="43">
      <c r="A34" s="57" t="inlineStr">
        <is>
          <t>Hotsite (baixa complexidade)</t>
        </is>
      </c>
      <c r="B34" s="70" t="n">
        <v>17696</v>
      </c>
      <c r="C34" s="71" t="n">
        <v>3312</v>
      </c>
      <c r="D34" s="71" t="n">
        <v>9430.4</v>
      </c>
      <c r="E34" s="71" t="n">
        <v>16522</v>
      </c>
      <c r="F34" s="71" t="n">
        <v>20000</v>
      </c>
      <c r="G34" s="71" t="n">
        <v>12150</v>
      </c>
      <c r="H34" s="72" t="n"/>
      <c r="I34" s="73" t="n">
        <v>3312</v>
      </c>
      <c r="J34" s="61" t="inlineStr">
        <is>
          <t>A</t>
        </is>
      </c>
      <c r="K34" s="62" t="n"/>
      <c r="L34" s="63" t="n">
        <v>-0.812839059674503</v>
      </c>
      <c r="M34" s="63" t="n">
        <v>-0.467088607594937</v>
      </c>
      <c r="N34" s="63" t="n">
        <v>-0.0663426763110308</v>
      </c>
      <c r="O34" s="63" t="n">
        <v>0.130198915009042</v>
      </c>
      <c r="P34" s="63" t="n">
        <v>-0.313404159132007</v>
      </c>
      <c r="Q34" s="64" t="n">
        <v>0</v>
      </c>
      <c r="R34" s="64" t="n">
        <v>0</v>
      </c>
    </row>
    <row r="35" ht="15" customHeight="1" s="43">
      <c r="A35" s="57" t="inlineStr">
        <is>
          <t>Hotsite (média complexidade)</t>
        </is>
      </c>
      <c r="B35" s="70" t="n">
        <v>40957</v>
      </c>
      <c r="C35" s="71" t="n">
        <v>10672</v>
      </c>
      <c r="D35" s="71" t="n">
        <v>15195.25</v>
      </c>
      <c r="E35" s="71" t="n">
        <v>26622</v>
      </c>
      <c r="F35" s="71" t="n">
        <v>30000</v>
      </c>
      <c r="G35" s="71" t="n">
        <v>24300</v>
      </c>
      <c r="H35" s="72" t="n"/>
      <c r="I35" s="73" t="n">
        <v>10672</v>
      </c>
      <c r="J35" s="61" t="inlineStr">
        <is>
          <t>A</t>
        </is>
      </c>
      <c r="K35" s="62" t="n"/>
      <c r="L35" s="63" t="n">
        <v>-0.739434040579144</v>
      </c>
      <c r="M35" s="63" t="n">
        <v>-0.628995043582294</v>
      </c>
      <c r="N35" s="63" t="n">
        <v>-0.350001220792539</v>
      </c>
      <c r="O35" s="63" t="n">
        <v>-0.267524476890397</v>
      </c>
      <c r="P35" s="63" t="n">
        <v>-0.406694826281222</v>
      </c>
      <c r="Q35" s="64" t="n">
        <v>0</v>
      </c>
      <c r="R35" s="64" t="n">
        <v>0</v>
      </c>
    </row>
    <row r="36" ht="15" customHeight="1" s="43">
      <c r="A36" s="57" t="inlineStr">
        <is>
          <t>Roteiro para vídeo até 60”</t>
        </is>
      </c>
      <c r="B36" s="70" t="n">
        <v>19364</v>
      </c>
      <c r="C36" s="71" t="n">
        <v>552</v>
      </c>
      <c r="D36" s="71" t="n">
        <v>7184.1</v>
      </c>
      <c r="E36" s="71" t="n">
        <v>12587</v>
      </c>
      <c r="F36" s="71" t="n">
        <v>9000</v>
      </c>
      <c r="G36" s="71" t="n">
        <v>7800</v>
      </c>
      <c r="H36" s="72" t="n"/>
      <c r="I36" s="73" t="n">
        <v>552</v>
      </c>
      <c r="J36" s="61" t="inlineStr">
        <is>
          <t>A</t>
        </is>
      </c>
      <c r="K36" s="62" t="n"/>
      <c r="L36" s="63" t="n">
        <v>-0.971493493079942</v>
      </c>
      <c r="M36" s="63" t="n">
        <v>-0.62899710803553</v>
      </c>
      <c r="N36" s="63" t="n">
        <v>-0.349979343110928</v>
      </c>
      <c r="O36" s="63" t="n">
        <v>-0.535219995868622</v>
      </c>
      <c r="P36" s="63" t="n">
        <v>-0.597190663086139</v>
      </c>
      <c r="Q36" s="64" t="n">
        <v>1</v>
      </c>
      <c r="R36" s="64" t="n">
        <v>1</v>
      </c>
    </row>
    <row r="37" ht="15" customHeight="1" s="43">
      <c r="A37" s="57" t="inlineStr">
        <is>
          <t>Roteiro para vídeo acima de 60”</t>
        </is>
      </c>
      <c r="B37" s="70" t="n">
        <v>29043</v>
      </c>
      <c r="C37" s="71" t="n">
        <v>1472</v>
      </c>
      <c r="D37" s="71" t="n">
        <v>10774.75</v>
      </c>
      <c r="E37" s="71" t="n">
        <v>18878</v>
      </c>
      <c r="F37" s="71" t="n">
        <v>18000</v>
      </c>
      <c r="G37" s="71" t="n">
        <v>11000</v>
      </c>
      <c r="H37" s="72" t="n"/>
      <c r="I37" s="73" t="n">
        <v>1472</v>
      </c>
      <c r="J37" s="61" t="inlineStr">
        <is>
          <t>A</t>
        </is>
      </c>
      <c r="K37" s="62" t="n"/>
      <c r="L37" s="63" t="n">
        <v>-0.949316530661433</v>
      </c>
      <c r="M37" s="63" t="n">
        <v>-0.6290069896360569</v>
      </c>
      <c r="N37" s="63" t="n">
        <v>-0.349998278414764</v>
      </c>
      <c r="O37" s="63" t="n">
        <v>-0.380229315153393</v>
      </c>
      <c r="P37" s="63" t="n">
        <v>-0.621251248149296</v>
      </c>
      <c r="Q37" s="64" t="n">
        <v>0</v>
      </c>
      <c r="R37" s="64" t="n">
        <v>0</v>
      </c>
    </row>
    <row r="38" ht="15" customHeight="1" s="43">
      <c r="A38" s="57" t="inlineStr">
        <is>
          <t>Vídeo institucional até 5 minutos</t>
        </is>
      </c>
      <c r="B38" s="70" t="n">
        <v>29102</v>
      </c>
      <c r="C38" s="71" t="n">
        <v>9568</v>
      </c>
      <c r="D38" s="71" t="n">
        <v>10796.8</v>
      </c>
      <c r="E38" s="71" t="n">
        <v>18916</v>
      </c>
      <c r="F38" s="71" t="n">
        <v>24000</v>
      </c>
      <c r="G38" s="71" t="n">
        <v>60000</v>
      </c>
      <c r="H38" s="72" t="n"/>
      <c r="I38" s="73" t="n">
        <v>9568</v>
      </c>
      <c r="J38" s="61" t="inlineStr">
        <is>
          <t>A</t>
        </is>
      </c>
      <c r="K38" s="62" t="n"/>
      <c r="L38" s="63" t="n">
        <v>-0.67122534533709</v>
      </c>
      <c r="M38" s="63" t="n">
        <v>-0.62900144319978</v>
      </c>
      <c r="N38" s="63" t="n">
        <v>-0.350010308569858</v>
      </c>
      <c r="O38" s="63" t="n">
        <v>-0.175314411380661</v>
      </c>
      <c r="P38" s="63" t="n">
        <v>1.06171397154835</v>
      </c>
      <c r="Q38" s="64" t="n">
        <v>12</v>
      </c>
      <c r="R38" s="64" t="n">
        <v>9</v>
      </c>
    </row>
    <row r="39" ht="15" customHeight="1" s="43">
      <c r="A39" s="57" t="inlineStr">
        <is>
          <t>Filme / VT até 60”</t>
        </is>
      </c>
      <c r="B39" s="70" t="n">
        <v>19364</v>
      </c>
      <c r="C39" s="71" t="n">
        <v>2024</v>
      </c>
      <c r="D39" s="71" t="n">
        <v>7184.1</v>
      </c>
      <c r="E39" s="71" t="n">
        <v>12587</v>
      </c>
      <c r="F39" s="71" t="n">
        <v>16000</v>
      </c>
      <c r="G39" s="71" t="n">
        <v>12800</v>
      </c>
      <c r="H39" s="72" t="n"/>
      <c r="I39" s="73" t="n">
        <v>2024</v>
      </c>
      <c r="J39" s="61" t="inlineStr">
        <is>
          <t>A</t>
        </is>
      </c>
      <c r="K39" s="62" t="n"/>
      <c r="L39" s="63" t="n">
        <v>-0.895476141293121</v>
      </c>
      <c r="M39" s="63" t="n">
        <v>-0.62899710803553</v>
      </c>
      <c r="N39" s="63" t="n">
        <v>-0.349979343110928</v>
      </c>
      <c r="O39" s="63" t="n">
        <v>-0.173724437099773</v>
      </c>
      <c r="P39" s="63" t="n">
        <v>-0.338979549679818</v>
      </c>
      <c r="Q39" s="64" t="n">
        <v>0</v>
      </c>
      <c r="R39" s="64" t="n">
        <v>0</v>
      </c>
    </row>
    <row r="40" ht="15" customHeight="1" s="43">
      <c r="A40" s="57" t="inlineStr">
        <is>
          <t>Filme / VT acima de 60”</t>
        </is>
      </c>
      <c r="B40" s="70" t="n">
        <v>29043</v>
      </c>
      <c r="C40" s="71" t="n">
        <v>4784</v>
      </c>
      <c r="D40" s="71" t="n">
        <v>10774.75</v>
      </c>
      <c r="E40" s="71" t="n">
        <v>18878</v>
      </c>
      <c r="F40" s="71" t="n">
        <v>24000</v>
      </c>
      <c r="G40" s="71" t="n">
        <v>14000</v>
      </c>
      <c r="H40" s="72" t="n"/>
      <c r="I40" s="73" t="n">
        <v>4784</v>
      </c>
      <c r="J40" s="61" t="inlineStr">
        <is>
          <t>A</t>
        </is>
      </c>
      <c r="K40" s="62" t="n"/>
      <c r="L40" s="63" t="n">
        <v>-0.835278724649657</v>
      </c>
      <c r="M40" s="63" t="n">
        <v>-0.6290069896360569</v>
      </c>
      <c r="N40" s="63" t="n">
        <v>-0.349998278414764</v>
      </c>
      <c r="O40" s="63" t="n">
        <v>-0.173639086871191</v>
      </c>
      <c r="P40" s="63" t="n">
        <v>-0.517956134008195</v>
      </c>
      <c r="Q40" s="64" t="n">
        <v>0</v>
      </c>
      <c r="R40" s="64" t="n">
        <v>0</v>
      </c>
    </row>
    <row r="41" ht="15" customHeight="1" s="43">
      <c r="A41" s="57" t="inlineStr">
        <is>
          <t>Vinheta eletrônica</t>
        </is>
      </c>
      <c r="B41" s="70" t="n">
        <v>12093</v>
      </c>
      <c r="C41" s="71" t="n">
        <v>2024</v>
      </c>
      <c r="D41" s="71" t="n">
        <v>4486.3</v>
      </c>
      <c r="E41" s="71" t="n">
        <v>8463</v>
      </c>
      <c r="F41" s="71" t="n">
        <v>11000</v>
      </c>
      <c r="G41" s="71" t="n">
        <v>7800</v>
      </c>
      <c r="H41" s="72" t="n"/>
      <c r="I41" s="73" t="n">
        <v>2024</v>
      </c>
      <c r="J41" s="61" t="inlineStr">
        <is>
          <t>A</t>
        </is>
      </c>
      <c r="K41" s="62" t="n"/>
      <c r="L41" s="63" t="n">
        <v>-0.832630447366245</v>
      </c>
      <c r="M41" s="63" t="n">
        <v>-0.629016786570743</v>
      </c>
      <c r="N41" s="63" t="n">
        <v>-0.300173654180104</v>
      </c>
      <c r="O41" s="63" t="n">
        <v>-0.0903828661208964</v>
      </c>
      <c r="P41" s="63" t="n">
        <v>-0.354998759612999</v>
      </c>
      <c r="Q41" s="64" t="n">
        <v>4</v>
      </c>
      <c r="R41" s="64" t="n">
        <v>3</v>
      </c>
    </row>
    <row r="42" ht="15" customHeight="1" s="43">
      <c r="A42" s="57" t="inlineStr">
        <is>
          <t>Banner animado / vídeo digital</t>
        </is>
      </c>
      <c r="B42" s="70" t="n">
        <v>5678</v>
      </c>
      <c r="C42" s="71" t="n">
        <v>1288</v>
      </c>
      <c r="D42" s="71" t="n">
        <v>2106.3</v>
      </c>
      <c r="E42" s="71" t="n">
        <v>3691</v>
      </c>
      <c r="F42" s="71" t="n">
        <v>4500</v>
      </c>
      <c r="G42" s="71" t="n">
        <v>4860</v>
      </c>
      <c r="H42" s="72" t="n"/>
      <c r="I42" s="73" t="n">
        <v>1288</v>
      </c>
      <c r="J42" s="61" t="inlineStr">
        <is>
          <t>A</t>
        </is>
      </c>
      <c r="K42" s="62" t="n"/>
      <c r="L42" s="63" t="n">
        <v>-0.773159563226488</v>
      </c>
      <c r="M42" s="63" t="n">
        <v>-0.629041916167665</v>
      </c>
      <c r="N42" s="63" t="n">
        <v>-0.34994716449454</v>
      </c>
      <c r="O42" s="63" t="n">
        <v>-0.207467418104967</v>
      </c>
      <c r="P42" s="63" t="n">
        <v>-0.144064811553364</v>
      </c>
      <c r="Q42" s="64" t="n">
        <v>40</v>
      </c>
      <c r="R42" s="64" t="n">
        <v>2</v>
      </c>
    </row>
    <row r="43" ht="15" customHeight="1" s="43">
      <c r="A43" s="57" t="inlineStr">
        <is>
          <t>Motion design (peças digitais)</t>
        </is>
      </c>
      <c r="B43" s="70" t="n">
        <v>13020</v>
      </c>
      <c r="C43" s="71" t="n">
        <v>2208</v>
      </c>
      <c r="D43" s="71" t="n">
        <v>4830.7</v>
      </c>
      <c r="E43" s="71" t="n">
        <v>8463</v>
      </c>
      <c r="F43" s="71" t="n">
        <v>1000</v>
      </c>
      <c r="G43" s="71" t="n">
        <v>5400</v>
      </c>
      <c r="H43" s="72" t="n"/>
      <c r="I43" s="73" t="n">
        <v>1000</v>
      </c>
      <c r="J43" s="61" t="inlineStr">
        <is>
          <t>D</t>
        </is>
      </c>
      <c r="K43" s="62" t="n"/>
      <c r="L43" s="63" t="n">
        <v>-0.830414746543779</v>
      </c>
      <c r="M43" s="63" t="n">
        <v>-0.628978494623656</v>
      </c>
      <c r="N43" s="63" t="n">
        <v>-0.35</v>
      </c>
      <c r="O43" s="63" t="n">
        <v>-0.923195084485407</v>
      </c>
      <c r="P43" s="63" t="n">
        <v>-0.585253456221198</v>
      </c>
      <c r="Q43" s="64" t="n">
        <v>0</v>
      </c>
      <c r="R43" s="64" t="n">
        <v>0</v>
      </c>
    </row>
    <row r="44" ht="15" customHeight="1" s="43">
      <c r="A44" s="57" t="inlineStr">
        <is>
          <t>Projeto de branding</t>
        </is>
      </c>
      <c r="B44" s="70" t="n">
        <v>117535</v>
      </c>
      <c r="C44" s="71" t="n">
        <v>18000</v>
      </c>
      <c r="D44" s="71" t="n">
        <v>43605.45</v>
      </c>
      <c r="E44" s="71" t="n">
        <v>76398</v>
      </c>
      <c r="F44" s="71" t="n">
        <v>85000</v>
      </c>
      <c r="G44" s="71" t="n">
        <v>65000</v>
      </c>
      <c r="H44" s="72" t="n"/>
      <c r="I44" s="73" t="n">
        <v>18000</v>
      </c>
      <c r="J44" s="61" t="inlineStr">
        <is>
          <t>A</t>
        </is>
      </c>
      <c r="K44" s="62" t="n"/>
      <c r="L44" s="63" t="n">
        <v>-0.846854128557451</v>
      </c>
      <c r="M44" s="63" t="n">
        <v>-0.629000297783639</v>
      </c>
      <c r="N44" s="63" t="n">
        <v>-0.349997872974008</v>
      </c>
      <c r="O44" s="63" t="n">
        <v>-0.276811162632407</v>
      </c>
      <c r="P44" s="63" t="n">
        <v>-0.446973242013017</v>
      </c>
      <c r="Q44" s="64" t="n">
        <v>1</v>
      </c>
      <c r="R44" s="64" t="n">
        <v>1</v>
      </c>
    </row>
    <row r="45" ht="15" customHeight="1" s="43">
      <c r="A45" s="57" t="inlineStr">
        <is>
          <t>Marca / logotipo</t>
        </is>
      </c>
      <c r="B45" s="70" t="n">
        <v>22729</v>
      </c>
      <c r="C45" s="71" t="n">
        <v>3864</v>
      </c>
      <c r="D45" s="71" t="n">
        <v>8432.549999999999</v>
      </c>
      <c r="E45" s="71" t="n">
        <v>14774</v>
      </c>
      <c r="F45" s="71" t="n">
        <v>15000</v>
      </c>
      <c r="G45" s="71" t="n">
        <v>18000</v>
      </c>
      <c r="H45" s="72" t="n"/>
      <c r="I45" s="73" t="n">
        <v>3864</v>
      </c>
      <c r="J45" s="61" t="inlineStr">
        <is>
          <t>A</t>
        </is>
      </c>
      <c r="K45" s="62" t="n"/>
      <c r="L45" s="63" t="n">
        <v>-0.829996920234062</v>
      </c>
      <c r="M45" s="63" t="n">
        <v>-0.628995996304281</v>
      </c>
      <c r="N45" s="63" t="n">
        <v>-0.349993400501562</v>
      </c>
      <c r="O45" s="63" t="n">
        <v>-0.34005015618813</v>
      </c>
      <c r="P45" s="63" t="n">
        <v>-0.208060187425756</v>
      </c>
      <c r="Q45" s="64" t="n">
        <v>5</v>
      </c>
      <c r="R45" s="64" t="n">
        <v>1</v>
      </c>
    </row>
    <row r="46" ht="15" customHeight="1" s="43">
      <c r="A46" s="57" t="inlineStr">
        <is>
          <t>Nome de marca</t>
        </is>
      </c>
      <c r="B46" s="70" t="n">
        <v>27699</v>
      </c>
      <c r="C46" s="71" t="n">
        <v>1014</v>
      </c>
      <c r="D46" s="71" t="n">
        <v>10276.35</v>
      </c>
      <c r="E46" s="71" t="n">
        <v>18004</v>
      </c>
      <c r="F46" s="71" t="n">
        <v>20000</v>
      </c>
      <c r="G46" s="71" t="n">
        <v>22000</v>
      </c>
      <c r="H46" s="72" t="n"/>
      <c r="I46" s="73" t="n">
        <v>1014</v>
      </c>
      <c r="J46" s="61" t="inlineStr">
        <is>
          <t>A</t>
        </is>
      </c>
      <c r="K46" s="62" t="n"/>
      <c r="L46" s="63" t="n">
        <v>-0.963392180223113</v>
      </c>
      <c r="M46" s="63" t="n">
        <v>-0.628999241849886</v>
      </c>
      <c r="N46" s="63" t="n">
        <v>-0.350012635835229</v>
      </c>
      <c r="O46" s="63" t="n">
        <v>-0.277952272645222</v>
      </c>
      <c r="P46" s="63" t="n">
        <v>-0.205747499909744</v>
      </c>
      <c r="Q46" s="64" t="n">
        <v>0</v>
      </c>
      <c r="R46" s="64" t="n">
        <v>0</v>
      </c>
    </row>
    <row r="47" ht="15" customHeight="1" s="43">
      <c r="A47" s="57" t="inlineStr">
        <is>
          <t>Manual de identidade visual (por lâmina)</t>
        </is>
      </c>
      <c r="B47" s="70" t="n">
        <v>2598</v>
      </c>
      <c r="C47" s="71" t="n">
        <v>1067.2</v>
      </c>
      <c r="D47" s="71" t="n">
        <v>963.9</v>
      </c>
      <c r="E47" s="71" t="n">
        <v>1689</v>
      </c>
      <c r="F47" s="71" t="n">
        <v>2000</v>
      </c>
      <c r="G47" s="71" t="n">
        <v>1800</v>
      </c>
      <c r="H47" s="72" t="n"/>
      <c r="I47" s="73" t="n">
        <v>963.9</v>
      </c>
      <c r="J47" s="61" t="inlineStr">
        <is>
          <t>B</t>
        </is>
      </c>
      <c r="K47" s="62" t="n"/>
      <c r="L47" s="63" t="n">
        <v>-0.589222478829869</v>
      </c>
      <c r="M47" s="63" t="n">
        <v>-0.628983833718245</v>
      </c>
      <c r="N47" s="63" t="n">
        <v>-0.349884526558892</v>
      </c>
      <c r="O47" s="63" t="n">
        <v>-0.230177059276366</v>
      </c>
      <c r="P47" s="63" t="n">
        <v>-0.30715935334873</v>
      </c>
      <c r="Q47" s="64" t="n">
        <v>0</v>
      </c>
      <c r="R47" s="64" t="n">
        <v>1</v>
      </c>
    </row>
    <row r="48" ht="15" customHeight="1" s="43">
      <c r="A48" s="57" t="inlineStr">
        <is>
          <t>Programação visual de estande (conceito)</t>
        </is>
      </c>
      <c r="B48" s="70" t="n">
        <v>18296</v>
      </c>
      <c r="C48" s="71" t="n">
        <v>8500</v>
      </c>
      <c r="D48" s="71" t="n">
        <v>6787.9</v>
      </c>
      <c r="E48" s="71" t="n">
        <v>11892</v>
      </c>
      <c r="F48" s="71" t="n">
        <v>15000</v>
      </c>
      <c r="G48" s="71" t="n">
        <v>14700</v>
      </c>
      <c r="H48" s="72" t="n"/>
      <c r="I48" s="73" t="n">
        <v>6787.9</v>
      </c>
      <c r="J48" s="61" t="inlineStr">
        <is>
          <t>B</t>
        </is>
      </c>
      <c r="K48" s="62" t="n"/>
      <c r="L48" s="63" t="n">
        <v>-0.535417577612593</v>
      </c>
      <c r="M48" s="63" t="n">
        <v>-0.628995408832532</v>
      </c>
      <c r="N48" s="63" t="n">
        <v>-0.35002186270223</v>
      </c>
      <c r="O48" s="63" t="n">
        <v>-0.180148666375164</v>
      </c>
      <c r="P48" s="63" t="n">
        <v>-0.196545693047661</v>
      </c>
      <c r="Q48" s="64" t="n">
        <v>0</v>
      </c>
      <c r="R48" s="64" t="n">
        <v>0</v>
      </c>
    </row>
    <row r="49" ht="15" customHeight="1" s="43">
      <c r="A49" s="57" t="inlineStr">
        <is>
          <t>Projeto de sinalização (conceito)</t>
        </is>
      </c>
      <c r="B49" s="70" t="n">
        <v>7858</v>
      </c>
      <c r="C49" s="71" t="n">
        <v>7500</v>
      </c>
      <c r="D49" s="71" t="n">
        <v>4239.2</v>
      </c>
      <c r="E49" s="71" t="n">
        <v>6035</v>
      </c>
      <c r="F49" s="71" t="n">
        <v>7000</v>
      </c>
      <c r="G49" s="71" t="n">
        <v>8800</v>
      </c>
      <c r="H49" s="72" t="n"/>
      <c r="I49" s="73" t="n">
        <v>4239.2</v>
      </c>
      <c r="J49" s="61" t="inlineStr">
        <is>
          <t>B</t>
        </is>
      </c>
      <c r="K49" s="62" t="n"/>
      <c r="L49" s="63" t="n">
        <v>-0.0455586663273098</v>
      </c>
      <c r="M49" s="63" t="n">
        <v>-0.460524306439298</v>
      </c>
      <c r="N49" s="63" t="n">
        <v>-0.231992873504709</v>
      </c>
      <c r="O49" s="63" t="n">
        <v>-0.109188088572156</v>
      </c>
      <c r="P49" s="63" t="n">
        <v>0.11987783150929</v>
      </c>
      <c r="Q49" s="64" t="n">
        <v>6</v>
      </c>
      <c r="R49" s="64" t="n">
        <v>0</v>
      </c>
    </row>
    <row r="50" ht="15" customHeight="1" s="43">
      <c r="A50" s="57" t="inlineStr">
        <is>
          <t>Outdoor / mídia exterior (criação)</t>
        </is>
      </c>
      <c r="B50" s="70" t="n">
        <v>7030</v>
      </c>
      <c r="C50" s="71" t="n">
        <v>2208</v>
      </c>
      <c r="D50" s="71" t="n">
        <v>2608.2</v>
      </c>
      <c r="E50" s="71" t="n">
        <v>4570</v>
      </c>
      <c r="F50" s="71" t="n">
        <v>5500</v>
      </c>
      <c r="G50" s="71" t="n">
        <v>3400</v>
      </c>
      <c r="H50" s="72" t="n"/>
      <c r="I50" s="73" t="n">
        <v>2208</v>
      </c>
      <c r="J50" s="61" t="inlineStr">
        <is>
          <t>A</t>
        </is>
      </c>
      <c r="K50" s="62" t="n"/>
      <c r="L50" s="63" t="n">
        <v>-0.6859174964438119</v>
      </c>
      <c r="M50" s="63" t="n">
        <v>-0.628990042674253</v>
      </c>
      <c r="N50" s="63" t="n">
        <v>-0.349928876244666</v>
      </c>
      <c r="O50" s="63" t="n">
        <v>-0.217638691322902</v>
      </c>
      <c r="P50" s="63" t="n">
        <v>-0.516358463726885</v>
      </c>
      <c r="Q50" s="64" t="n">
        <v>3</v>
      </c>
      <c r="R50" s="64" t="n">
        <v>0</v>
      </c>
    </row>
    <row r="51" ht="15" customHeight="1" s="43">
      <c r="A51" s="57" t="inlineStr">
        <is>
          <t>Consultoria – diretor (hora)</t>
        </is>
      </c>
      <c r="B51" s="70" t="n">
        <v>1556</v>
      </c>
      <c r="C51" s="71" t="n">
        <v>367</v>
      </c>
      <c r="D51" s="71" t="n">
        <v>577.15</v>
      </c>
      <c r="E51" s="71" t="n">
        <v>1011</v>
      </c>
      <c r="F51" s="71" t="n">
        <v>1000</v>
      </c>
      <c r="G51" s="71" t="n">
        <v>523.26</v>
      </c>
      <c r="H51" s="72" t="n"/>
      <c r="I51" s="73" t="n">
        <v>367</v>
      </c>
      <c r="J51" s="61" t="inlineStr">
        <is>
          <t>A</t>
        </is>
      </c>
      <c r="K51" s="62" t="n"/>
      <c r="L51" s="63" t="n">
        <v>-0.76413881748072</v>
      </c>
      <c r="M51" s="63" t="n">
        <v>-0.629080976863753</v>
      </c>
      <c r="N51" s="63" t="n">
        <v>-0.35025706940874</v>
      </c>
      <c r="O51" s="63" t="n">
        <v>-0.3573264781491</v>
      </c>
      <c r="P51" s="63" t="n">
        <v>-0.6637146529562979</v>
      </c>
      <c r="Q51" s="64" t="n">
        <v>0</v>
      </c>
      <c r="R51" s="64" t="n">
        <v>0</v>
      </c>
    </row>
    <row r="52" ht="15" customHeight="1" s="43">
      <c r="A52" s="57" t="inlineStr">
        <is>
          <t>Gerente / supervisor (hora)</t>
        </is>
      </c>
      <c r="B52" s="70" t="n">
        <v>1040</v>
      </c>
      <c r="C52" s="71" t="n">
        <v>263</v>
      </c>
      <c r="D52" s="71" t="n">
        <v>385.7</v>
      </c>
      <c r="E52" s="71" t="n">
        <v>676</v>
      </c>
      <c r="F52" s="71" t="n">
        <v>600</v>
      </c>
      <c r="G52" s="71" t="n">
        <v>361.25</v>
      </c>
      <c r="H52" s="72" t="n"/>
      <c r="I52" s="73" t="n">
        <v>263</v>
      </c>
      <c r="J52" s="61" t="inlineStr">
        <is>
          <t>A</t>
        </is>
      </c>
      <c r="K52" s="62" t="n"/>
      <c r="L52" s="63" t="n">
        <v>-0.747115384615385</v>
      </c>
      <c r="M52" s="63" t="n">
        <v>-0.629134615384615</v>
      </c>
      <c r="N52" s="63" t="n">
        <v>-0.35</v>
      </c>
      <c r="O52" s="63" t="n">
        <v>-0.423076923076923</v>
      </c>
      <c r="P52" s="63" t="n">
        <v>-0.6526442307692309</v>
      </c>
      <c r="Q52" s="64" t="n">
        <v>0</v>
      </c>
      <c r="R52" s="64" t="n">
        <v>0</v>
      </c>
    </row>
    <row r="53" ht="15" customHeight="1" s="43">
      <c r="A53" s="57" t="inlineStr">
        <is>
          <t>Analista / assistente (hora)</t>
        </is>
      </c>
      <c r="B53" s="70" t="n">
        <v>727</v>
      </c>
      <c r="C53" s="71" t="n">
        <v>127</v>
      </c>
      <c r="D53" s="71" t="n">
        <v>269.5</v>
      </c>
      <c r="E53" s="71" t="n">
        <v>473</v>
      </c>
      <c r="F53" s="71" t="n">
        <v>300</v>
      </c>
      <c r="G53" s="71" t="n">
        <v>201.42</v>
      </c>
      <c r="H53" s="72" t="n"/>
      <c r="I53" s="73" t="n">
        <v>127</v>
      </c>
      <c r="J53" s="61" t="inlineStr">
        <is>
          <t>A</t>
        </is>
      </c>
      <c r="K53" s="62" t="n"/>
      <c r="L53" s="63" t="n">
        <v>-0.825309491059147</v>
      </c>
      <c r="M53" s="63" t="n">
        <v>-0.6292984869326</v>
      </c>
      <c r="N53" s="63" t="n">
        <v>-0.349381017881706</v>
      </c>
      <c r="O53" s="63" t="n">
        <v>-0.587345254470426</v>
      </c>
      <c r="P53" s="63" t="n">
        <v>-0.722943603851444</v>
      </c>
      <c r="Q53" s="64" t="n">
        <v>0</v>
      </c>
      <c r="R53" s="64" t="n">
        <v>0</v>
      </c>
    </row>
    <row r="54" ht="15" customHeight="1" s="43">
      <c r="A54" s="57" t="inlineStr">
        <is>
          <t>Pesquisa em banco de imagem / vídeo</t>
        </is>
      </c>
      <c r="B54" s="70" t="n">
        <v>779</v>
      </c>
      <c r="C54" s="71" t="n">
        <v>460</v>
      </c>
      <c r="D54" s="71" t="n">
        <v>288.75</v>
      </c>
      <c r="E54" s="71" t="n">
        <v>506</v>
      </c>
      <c r="F54" s="71" t="n">
        <v>600</v>
      </c>
      <c r="G54" s="71" t="n">
        <v>650</v>
      </c>
      <c r="H54" s="72" t="n"/>
      <c r="I54" s="73" t="n">
        <v>288.75</v>
      </c>
      <c r="J54" s="61" t="inlineStr">
        <is>
          <t>B</t>
        </is>
      </c>
      <c r="K54" s="62" t="n"/>
      <c r="L54" s="63" t="n">
        <v>-0.409499358151476</v>
      </c>
      <c r="M54" s="63" t="n">
        <v>-0.629332477535302</v>
      </c>
      <c r="N54" s="63" t="n">
        <v>-0.350449293966624</v>
      </c>
      <c r="O54" s="63" t="n">
        <v>-0.229781771501926</v>
      </c>
      <c r="P54" s="63" t="n">
        <v>-0.165596919127086</v>
      </c>
      <c r="Q54" s="64" t="n">
        <v>0</v>
      </c>
      <c r="R54" s="64" t="n">
        <v>0</v>
      </c>
    </row>
    <row r="55" ht="15" customHeight="1" s="43">
      <c r="A55" s="57" t="inlineStr">
        <is>
          <t>Fee mensal</t>
        </is>
      </c>
      <c r="B55" s="70" t="n">
        <v>29000</v>
      </c>
      <c r="C55" s="71" t="n">
        <v>95420</v>
      </c>
      <c r="D55" s="71" t="n">
        <v>75600</v>
      </c>
      <c r="E55" s="71" t="n">
        <v>76200</v>
      </c>
      <c r="F55" s="71" t="n">
        <v>55500</v>
      </c>
      <c r="G55" s="71" t="n">
        <v>99837</v>
      </c>
      <c r="H55" s="72" t="n"/>
      <c r="I55" s="73" t="n">
        <v>55500</v>
      </c>
      <c r="J55" s="61" t="inlineStr">
        <is>
          <t>D</t>
        </is>
      </c>
      <c r="K55" s="62" t="n"/>
      <c r="L55" s="58" t="n">
        <v>95420</v>
      </c>
      <c r="M55" s="58" t="n">
        <v>75600</v>
      </c>
      <c r="N55" s="58" t="n">
        <v>76200</v>
      </c>
      <c r="O55" s="58" t="n">
        <v>55500</v>
      </c>
      <c r="P55" s="58" t="n">
        <v>99837</v>
      </c>
      <c r="Q55" s="64" t="n">
        <v>12</v>
      </c>
      <c r="R55" s="64" t="n">
        <v>0</v>
      </c>
    </row>
    <row r="56" ht="15" customHeight="1" s="43">
      <c r="A56" s="66" t="inlineStr">
        <is>
          <t>TOTAL</t>
        </is>
      </c>
      <c r="B56" s="75" t="n">
        <v>1086326</v>
      </c>
      <c r="C56" s="75" t="n">
        <v>316697.2</v>
      </c>
      <c r="D56" s="75" t="n">
        <v>402454.15</v>
      </c>
      <c r="E56" s="75" t="n">
        <v>657081</v>
      </c>
      <c r="F56" s="75" t="n">
        <v>673500</v>
      </c>
      <c r="G56" s="75" t="n">
        <v>733394.6</v>
      </c>
      <c r="H56" s="75" t="n"/>
      <c r="I56" s="76" t="n">
        <v>221858.15</v>
      </c>
      <c r="J56" s="69" t="n"/>
      <c r="K56" s="69" t="n"/>
      <c r="L56" s="67" t="n">
        <v>95381.379518299</v>
      </c>
      <c r="M56" s="67" t="n">
        <v>75568.741533398</v>
      </c>
      <c r="N56" s="67" t="n">
        <v>76179.78852673501</v>
      </c>
      <c r="O56" s="67" t="n">
        <v>55486.4375200017</v>
      </c>
      <c r="P56" s="67" t="n">
        <v>99816.5450281177</v>
      </c>
    </row>
  </sheetData>
  <conditionalFormatting sqref="L2:P54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U5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125" defaultRowHeight="15" zeroHeight="0" outlineLevelRow="0"/>
  <cols>
    <col width="42.14" customWidth="1" style="42" min="1" max="1"/>
    <col width="13" customWidth="1" style="42" min="2" max="2"/>
    <col width="11" customWidth="1" style="42" min="3" max="7"/>
    <col width="3.28" customWidth="1" style="42" min="8" max="8"/>
    <col width="11" customWidth="1" style="42" min="9" max="9"/>
    <col width="12.14" customWidth="1" style="42" min="10" max="10"/>
    <col width="3.85" customWidth="1" style="42" min="11" max="11"/>
    <col width="10.42" customWidth="1" style="42" min="12" max="16"/>
    <col width="18" customWidth="1" style="42" min="17" max="18"/>
    <col width="12" customWidth="1" style="43" min="18" max="18"/>
    <col width="8.43" customWidth="1" style="42" min="19" max="19"/>
    <col width="8.43" customWidth="1" style="42" min="20" max="20"/>
  </cols>
  <sheetData>
    <row r="1" ht="51" customHeight="1" s="43">
      <c r="A1" s="53" t="inlineStr">
        <is>
          <t>Serviço</t>
        </is>
      </c>
      <c r="B1" s="53" t="inlineStr">
        <is>
          <t>Preço RC</t>
        </is>
      </c>
      <c r="C1" s="53" t="inlineStr">
        <is>
          <t>A</t>
        </is>
      </c>
      <c r="D1" s="53" t="inlineStr">
        <is>
          <t>B</t>
        </is>
      </c>
      <c r="E1" s="53" t="inlineStr">
        <is>
          <t>C</t>
        </is>
      </c>
      <c r="F1" s="53" t="inlineStr">
        <is>
          <t>D</t>
        </is>
      </c>
      <c r="G1" s="53" t="inlineStr">
        <is>
          <t>E</t>
        </is>
      </c>
      <c r="H1" s="54" t="n"/>
      <c r="I1" s="55" t="inlineStr">
        <is>
          <t>Menor Preço</t>
        </is>
      </c>
      <c r="J1" s="56" t="inlineStr">
        <is>
          <t>Fornecedor Menor Preço</t>
        </is>
      </c>
      <c r="K1" s="54" t="n"/>
      <c r="L1" s="53" t="inlineStr">
        <is>
          <t>A</t>
        </is>
      </c>
      <c r="M1" s="53" t="inlineStr">
        <is>
          <t>B</t>
        </is>
      </c>
      <c r="N1" s="53" t="inlineStr">
        <is>
          <t>C</t>
        </is>
      </c>
      <c r="O1" s="53" t="inlineStr">
        <is>
          <t>D</t>
        </is>
      </c>
      <c r="P1" s="53" t="inlineStr">
        <is>
          <t>E</t>
        </is>
      </c>
      <c r="Q1" s="53" t="inlineStr">
        <is>
          <t>Estimativa de volumetria anual (total)</t>
        </is>
      </c>
      <c r="R1" s="53" t="inlineStr">
        <is>
          <t>ExtraFee</t>
        </is>
      </c>
    </row>
    <row r="2" ht="15" customHeight="1" s="43">
      <c r="A2" s="77" t="inlineStr">
        <is>
          <t>Criação de post / card estático (texto e imagem)</t>
        </is>
      </c>
      <c r="B2" s="78" t="n">
        <v>4364</v>
      </c>
      <c r="C2" s="78" t="n">
        <v>1288</v>
      </c>
      <c r="D2" s="78" t="n">
        <v>1619.1</v>
      </c>
      <c r="E2" s="78" t="n">
        <v>2837</v>
      </c>
      <c r="F2" s="78" t="n">
        <v>3500</v>
      </c>
      <c r="G2" s="78" t="n">
        <v>2462</v>
      </c>
      <c r="H2" s="79" t="n"/>
      <c r="I2" s="80">
        <f>MIN(E2:G2)</f>
        <v/>
      </c>
      <c r="J2" s="61">
        <f>INDEX($C$2:$G$2,MATCH(I2,C2:G2,0))</f>
        <v/>
      </c>
      <c r="K2" s="62" t="n"/>
      <c r="L2" s="63">
        <f>C2/$B2-1</f>
        <v/>
      </c>
      <c r="M2" s="63">
        <f>D2/$B2-1</f>
        <v/>
      </c>
      <c r="N2" s="63">
        <f>E2/$B2-1</f>
        <v/>
      </c>
      <c r="O2" s="63">
        <f>F2/$B2-1</f>
        <v/>
      </c>
      <c r="P2" s="63">
        <f>G2/$B2-1</f>
        <v/>
      </c>
      <c r="Q2" s="64" t="n">
        <v>511</v>
      </c>
      <c r="R2" s="64" t="n">
        <v>1</v>
      </c>
    </row>
    <row r="3" ht="15" customHeight="1" s="43">
      <c r="A3" s="77" t="inlineStr">
        <is>
          <t>Criação de post / card carrossel / multiproduto</t>
        </is>
      </c>
      <c r="B3" s="78" t="n">
        <v>5866</v>
      </c>
      <c r="C3" s="78" t="n">
        <v>3312</v>
      </c>
      <c r="D3" s="78" t="n">
        <v>2176.3</v>
      </c>
      <c r="E3" s="78" t="n">
        <v>3813</v>
      </c>
      <c r="F3" s="78" t="n">
        <v>4500</v>
      </c>
      <c r="G3" s="78" t="n">
        <v>3162</v>
      </c>
      <c r="H3" s="79" t="n"/>
      <c r="I3" s="80">
        <f>MIN(E3:G3)</f>
        <v/>
      </c>
      <c r="J3" s="61">
        <f>INDEX($C$2:$G$2,MATCH(I3,C3:G3,0))</f>
        <v/>
      </c>
      <c r="K3" s="62" t="n"/>
      <c r="L3" s="63">
        <f>C3/$B3-1</f>
        <v/>
      </c>
      <c r="M3" s="63">
        <f>D3/$B3-1</f>
        <v/>
      </c>
      <c r="N3" s="63">
        <f>E3/$B3-1</f>
        <v/>
      </c>
      <c r="O3" s="63">
        <f>F3/$B3-1</f>
        <v/>
      </c>
      <c r="P3" s="63">
        <f>G3/$B3-1</f>
        <v/>
      </c>
      <c r="Q3" s="64" t="n">
        <v>56</v>
      </c>
      <c r="R3" s="64" t="n">
        <v>0</v>
      </c>
    </row>
    <row r="4" ht="15" customHeight="1" s="43">
      <c r="A4" s="77" t="inlineStr">
        <is>
          <t>Criação de post com animação 2D</t>
        </is>
      </c>
      <c r="B4" s="78" t="n">
        <v>8729</v>
      </c>
      <c r="C4" s="78" t="n">
        <v>4968</v>
      </c>
      <c r="D4" s="78" t="n">
        <v>2590.7</v>
      </c>
      <c r="E4" s="78" t="n">
        <v>5674</v>
      </c>
      <c r="F4" s="78" t="n">
        <v>5500</v>
      </c>
      <c r="G4" s="78" t="n">
        <v>5400</v>
      </c>
      <c r="H4" s="79" t="n"/>
      <c r="I4" s="80">
        <f>MIN(E4:G4)</f>
        <v/>
      </c>
      <c r="J4" s="61">
        <f>INDEX($C$2:$G$2,MATCH(I4,C4:G4,0))</f>
        <v/>
      </c>
      <c r="K4" s="62" t="n"/>
      <c r="L4" s="63">
        <f>C4/$B4-1</f>
        <v/>
      </c>
      <c r="M4" s="63">
        <f>D4/$B4-1</f>
        <v/>
      </c>
      <c r="N4" s="63">
        <f>E4/$B4-1</f>
        <v/>
      </c>
      <c r="O4" s="63">
        <f>F4/$B4-1</f>
        <v/>
      </c>
      <c r="P4" s="63">
        <f>G4/$B4-1</f>
        <v/>
      </c>
      <c r="Q4" s="64" t="n">
        <v>0</v>
      </c>
      <c r="R4" s="64" t="n">
        <v>0</v>
      </c>
    </row>
    <row r="5" ht="15" customHeight="1" s="43">
      <c r="A5" s="77" t="inlineStr">
        <is>
          <t>Criação de thumbnail para vídeo</t>
        </is>
      </c>
      <c r="B5" s="78" t="n">
        <v>4364</v>
      </c>
      <c r="C5" s="78" t="n">
        <v>1288</v>
      </c>
      <c r="D5" s="78" t="n">
        <v>1619.1</v>
      </c>
      <c r="E5" s="78" t="n">
        <v>2837</v>
      </c>
      <c r="F5" s="78" t="n">
        <v>3500</v>
      </c>
      <c r="G5" s="78" t="n">
        <v>1900</v>
      </c>
      <c r="H5" s="79" t="n"/>
      <c r="I5" s="80">
        <f>MIN(E5:G5)</f>
        <v/>
      </c>
      <c r="J5" s="61">
        <f>INDEX($C$2:$G$2,MATCH(I5,C5:G5,0))</f>
        <v/>
      </c>
      <c r="K5" s="62" t="n"/>
      <c r="L5" s="63">
        <f>C5/$B5-1</f>
        <v/>
      </c>
      <c r="M5" s="63">
        <f>D5/$B5-1</f>
        <v/>
      </c>
      <c r="N5" s="63">
        <f>E5/$B5-1</f>
        <v/>
      </c>
      <c r="O5" s="63">
        <f>F5/$B5-1</f>
        <v/>
      </c>
      <c r="P5" s="63">
        <f>G5/$B5-1</f>
        <v/>
      </c>
      <c r="Q5" s="64" t="n">
        <v>0</v>
      </c>
      <c r="R5" s="64" t="n">
        <v>0</v>
      </c>
    </row>
    <row r="6" ht="15" customHeight="1" s="43">
      <c r="A6" s="77" t="inlineStr">
        <is>
          <t>Criação de post para blog (texto + imagem)</t>
        </is>
      </c>
      <c r="B6" s="78" t="n">
        <v>6546</v>
      </c>
      <c r="C6" s="78" t="n">
        <v>2392</v>
      </c>
      <c r="D6" s="78" t="n">
        <v>2428.65</v>
      </c>
      <c r="E6" s="78" t="n">
        <v>4255</v>
      </c>
      <c r="F6" s="78" t="n">
        <v>4000</v>
      </c>
      <c r="G6" s="78" t="n">
        <v>4540</v>
      </c>
      <c r="H6" s="79" t="n"/>
      <c r="I6" s="80">
        <f>MIN(E6:G6)</f>
        <v/>
      </c>
      <c r="J6" s="61">
        <f>INDEX($C$2:$G$2,MATCH(I6,C6:G6,0))</f>
        <v/>
      </c>
      <c r="K6" s="62" t="n"/>
      <c r="L6" s="63">
        <f>C6/$B6-1</f>
        <v/>
      </c>
      <c r="M6" s="63">
        <f>D6/$B6-1</f>
        <v/>
      </c>
      <c r="N6" s="63">
        <f>E6/$B6-1</f>
        <v/>
      </c>
      <c r="O6" s="63">
        <f>F6/$B6-1</f>
        <v/>
      </c>
      <c r="P6" s="63">
        <f>G6/$B6-1</f>
        <v/>
      </c>
      <c r="Q6" s="64" t="n">
        <v>0</v>
      </c>
      <c r="R6" s="64" t="n">
        <v>0</v>
      </c>
    </row>
    <row r="7" ht="15" customHeight="1" s="43">
      <c r="A7" s="77" t="inlineStr">
        <is>
          <t>Produção de texto livre (1.200 toques)</t>
        </is>
      </c>
      <c r="B7" s="78" t="n">
        <v>844</v>
      </c>
      <c r="C7" s="78" t="n">
        <v>552</v>
      </c>
      <c r="D7" s="78" t="n">
        <v>2920.05</v>
      </c>
      <c r="E7" s="78" t="n">
        <v>549</v>
      </c>
      <c r="F7" s="78" t="n">
        <v>4000</v>
      </c>
      <c r="G7" s="78" t="n">
        <v>562.67</v>
      </c>
      <c r="H7" s="79" t="n"/>
      <c r="I7" s="80">
        <f>MIN(E7:G7)</f>
        <v/>
      </c>
      <c r="J7" s="61">
        <f>INDEX($C$2:$G$2,MATCH(I7,C7:G7,0))</f>
        <v/>
      </c>
      <c r="K7" s="62" t="n"/>
      <c r="L7" s="63">
        <f>C7/$B7-1</f>
        <v/>
      </c>
      <c r="M7" s="63">
        <f>D7/$B7-1</f>
        <v/>
      </c>
      <c r="N7" s="63">
        <f>E7/$B7-1</f>
        <v/>
      </c>
      <c r="O7" s="63">
        <f>F7/$B7-1</f>
        <v/>
      </c>
      <c r="P7" s="63">
        <f>G7/$B7-1</f>
        <v/>
      </c>
      <c r="Q7" s="64" t="n">
        <v>579</v>
      </c>
      <c r="R7" s="64" t="n">
        <v>0</v>
      </c>
    </row>
    <row r="8" ht="15" customHeight="1" s="43">
      <c r="A8" s="77" t="inlineStr">
        <is>
          <t>Branded content / publieditorial</t>
        </is>
      </c>
      <c r="B8" s="78" t="n">
        <v>7946</v>
      </c>
      <c r="C8" s="78" t="n">
        <v>2208</v>
      </c>
      <c r="D8" s="78" t="n">
        <v>2948.05</v>
      </c>
      <c r="E8" s="78" t="n">
        <v>5165</v>
      </c>
      <c r="F8" s="78" t="n">
        <v>6000</v>
      </c>
      <c r="G8" s="81" t="n"/>
      <c r="H8" s="79" t="n"/>
      <c r="I8" s="80">
        <f>MIN(E8:G8)</f>
        <v/>
      </c>
      <c r="J8" s="61">
        <f>INDEX($C$2:$G$2,MATCH(I8,C8:G8,0))</f>
        <v/>
      </c>
      <c r="K8" s="62" t="n"/>
      <c r="L8" s="63">
        <f>C8/$B8-1</f>
        <v/>
      </c>
      <c r="M8" s="63">
        <f>D8/$B8-1</f>
        <v/>
      </c>
      <c r="N8" s="63">
        <f>E8/$B8-1</f>
        <v/>
      </c>
      <c r="O8" s="63">
        <f>F8/$B8-1</f>
        <v/>
      </c>
      <c r="P8" s="63">
        <f>G8/$B8-1</f>
        <v/>
      </c>
      <c r="Q8" s="64" t="n">
        <v>0</v>
      </c>
      <c r="R8" s="64" t="n">
        <v>0</v>
      </c>
    </row>
    <row r="9" ht="15" customHeight="1" s="43">
      <c r="A9" s="77" t="inlineStr">
        <is>
          <t>Criação de identidade visual (key visual)</t>
        </is>
      </c>
      <c r="B9" s="78" t="n">
        <v>13554</v>
      </c>
      <c r="C9" s="78" t="n">
        <v>4968</v>
      </c>
      <c r="D9" s="78" t="n">
        <v>5028.45</v>
      </c>
      <c r="E9" s="78" t="n">
        <v>8810</v>
      </c>
      <c r="F9" s="78" t="n">
        <v>11000</v>
      </c>
      <c r="G9" s="78" t="n">
        <v>8800</v>
      </c>
      <c r="H9" s="79" t="n"/>
      <c r="I9" s="80">
        <f>MIN(E9:G9)</f>
        <v/>
      </c>
      <c r="J9" s="61">
        <f>INDEX($C$2:$G$2,MATCH(I9,C9:G9,0))</f>
        <v/>
      </c>
      <c r="K9" s="62" t="n"/>
      <c r="L9" s="63">
        <f>C9/$B9-1</f>
        <v/>
      </c>
      <c r="M9" s="63">
        <f>D9/$B9-1</f>
        <v/>
      </c>
      <c r="N9" s="63">
        <f>E9/$B9-1</f>
        <v/>
      </c>
      <c r="O9" s="63">
        <f>F9/$B9-1</f>
        <v/>
      </c>
      <c r="P9" s="63">
        <f>G9/$B9-1</f>
        <v/>
      </c>
      <c r="Q9" s="64" t="n">
        <v>17</v>
      </c>
      <c r="R9" s="64" t="n">
        <v>1</v>
      </c>
    </row>
    <row r="10" ht="15" customHeight="1" s="43">
      <c r="A10" s="77" t="inlineStr">
        <is>
          <t>Criação de tema / conceito de campanha</t>
        </is>
      </c>
      <c r="B10" s="78" t="n">
        <v>27108</v>
      </c>
      <c r="C10" s="78" t="n">
        <v>1840</v>
      </c>
      <c r="D10" s="78" t="n">
        <v>10056.9</v>
      </c>
      <c r="E10" s="78" t="n">
        <v>17620</v>
      </c>
      <c r="F10" s="78" t="n">
        <v>18000</v>
      </c>
      <c r="G10" s="78" t="n">
        <v>25800</v>
      </c>
      <c r="H10" s="79" t="n"/>
      <c r="I10" s="80">
        <f>MIN(E10:G10)</f>
        <v/>
      </c>
      <c r="J10" s="61">
        <f>INDEX($C$2:$G$2,MATCH(I10,C10:G10,0))</f>
        <v/>
      </c>
      <c r="K10" s="62" t="n"/>
      <c r="L10" s="63">
        <f>C10/$B10-1</f>
        <v/>
      </c>
      <c r="M10" s="63">
        <f>D10/$B10-1</f>
        <v/>
      </c>
      <c r="N10" s="63">
        <f>E10/$B10-1</f>
        <v/>
      </c>
      <c r="O10" s="63">
        <f>F10/$B10-1</f>
        <v/>
      </c>
      <c r="P10" s="63">
        <f>G10/$B10-1</f>
        <v/>
      </c>
      <c r="Q10" s="64" t="n">
        <v>5</v>
      </c>
      <c r="R10" s="64" t="n">
        <v>0</v>
      </c>
    </row>
    <row r="11" ht="15" customHeight="1" s="43">
      <c r="A11" s="77" t="inlineStr">
        <is>
          <t>Slogan</t>
        </is>
      </c>
      <c r="B11" s="78" t="n">
        <v>14545</v>
      </c>
      <c r="C11" s="78" t="n">
        <v>1104</v>
      </c>
      <c r="D11" s="78" t="n">
        <v>5396.3</v>
      </c>
      <c r="E11" s="78" t="n">
        <v>9454</v>
      </c>
      <c r="F11" s="78" t="n">
        <v>9000</v>
      </c>
      <c r="G11" s="78" t="n">
        <v>12000</v>
      </c>
      <c r="H11" s="79" t="n"/>
      <c r="I11" s="80">
        <f>MIN(E11:G11)</f>
        <v/>
      </c>
      <c r="J11" s="61">
        <f>INDEX($C$2:$G$2,MATCH(I11,C11:G11,0))</f>
        <v/>
      </c>
      <c r="K11" s="62" t="n"/>
      <c r="L11" s="63">
        <f>C11/$B11-1</f>
        <v/>
      </c>
      <c r="M11" s="63">
        <f>D11/$B11-1</f>
        <v/>
      </c>
      <c r="N11" s="63">
        <f>E11/$B11-1</f>
        <v/>
      </c>
      <c r="O11" s="63">
        <f>F11/$B11-1</f>
        <v/>
      </c>
      <c r="P11" s="63">
        <f>G11/$B11-1</f>
        <v/>
      </c>
      <c r="Q11" s="64" t="n">
        <v>0</v>
      </c>
      <c r="R11" s="64" t="n">
        <v>0</v>
      </c>
    </row>
    <row r="12" ht="15" customHeight="1" s="43">
      <c r="A12" s="77" t="inlineStr">
        <is>
          <t>Moodboard</t>
        </is>
      </c>
      <c r="B12" s="78" t="n">
        <v>11785</v>
      </c>
      <c r="C12" s="78" t="n">
        <v>736</v>
      </c>
      <c r="D12" s="78" t="n">
        <v>4372.2</v>
      </c>
      <c r="E12" s="78" t="n">
        <v>7660</v>
      </c>
      <c r="F12" s="78" t="n">
        <v>8000</v>
      </c>
      <c r="G12" s="78" t="n">
        <v>7890</v>
      </c>
      <c r="H12" s="79" t="n"/>
      <c r="I12" s="80">
        <f>MIN(E12:G12)</f>
        <v/>
      </c>
      <c r="J12" s="61">
        <f>INDEX($C$2:$G$2,MATCH(I12,C12:G12,0))</f>
        <v/>
      </c>
      <c r="K12" s="62" t="n"/>
      <c r="L12" s="63">
        <f>C12/$B12-1</f>
        <v/>
      </c>
      <c r="M12" s="63">
        <f>D12/$B12-1</f>
        <v/>
      </c>
      <c r="N12" s="63">
        <f>E12/$B12-1</f>
        <v/>
      </c>
      <c r="O12" s="63">
        <f>F12/$B12-1</f>
        <v/>
      </c>
      <c r="P12" s="63">
        <f>G12/$B12-1</f>
        <v/>
      </c>
      <c r="Q12" s="64" t="n">
        <v>0</v>
      </c>
      <c r="R12" s="64" t="n">
        <v>0</v>
      </c>
    </row>
    <row r="13" ht="15" customHeight="1" s="43">
      <c r="A13" s="77" t="inlineStr">
        <is>
          <t>Planejamento de comunicação integrada</t>
        </is>
      </c>
      <c r="B13" s="78" t="n">
        <v>117535</v>
      </c>
      <c r="C13" s="78" t="n">
        <v>35000</v>
      </c>
      <c r="D13" s="78" t="n">
        <v>10901.45</v>
      </c>
      <c r="E13" s="78" t="n">
        <v>19100</v>
      </c>
      <c r="F13" s="78" t="n">
        <v>18000</v>
      </c>
      <c r="G13" s="78" t="n">
        <v>25000</v>
      </c>
      <c r="H13" s="79" t="n"/>
      <c r="I13" s="80">
        <f>MIN(E13:G13)</f>
        <v/>
      </c>
      <c r="J13" s="61">
        <f>INDEX($C$2:$G$2,MATCH(I13,C13:G13,0))</f>
        <v/>
      </c>
      <c r="K13" s="62" t="n"/>
      <c r="L13" s="63">
        <f>C13/$B13-1</f>
        <v/>
      </c>
      <c r="M13" s="63">
        <f>D13/$B13-1</f>
        <v/>
      </c>
      <c r="N13" s="63">
        <f>E13/$B13-1</f>
        <v/>
      </c>
      <c r="O13" s="63">
        <f>F13/$B13-1</f>
        <v/>
      </c>
      <c r="P13" s="63">
        <f>G13/$B13-1</f>
        <v/>
      </c>
      <c r="Q13" s="64" t="n">
        <v>1</v>
      </c>
      <c r="R13" s="64" t="n">
        <v>0</v>
      </c>
    </row>
    <row r="14" ht="15" customHeight="1" s="43">
      <c r="A14" s="77" t="inlineStr">
        <is>
          <t>Planejamento de campanha</t>
        </is>
      </c>
      <c r="B14" s="78" t="n">
        <v>58768</v>
      </c>
      <c r="C14" s="78" t="n">
        <v>4416</v>
      </c>
      <c r="D14" s="78" t="n">
        <v>5450.55</v>
      </c>
      <c r="E14" s="78" t="n">
        <v>9550</v>
      </c>
      <c r="F14" s="78" t="n">
        <v>10000</v>
      </c>
      <c r="G14" s="78" t="n">
        <v>12800</v>
      </c>
      <c r="H14" s="79" t="n"/>
      <c r="I14" s="80">
        <f>MIN(E14:G14)</f>
        <v/>
      </c>
      <c r="J14" s="61">
        <f>INDEX($C$2:$G$2,MATCH(I14,C14:G14,0))</f>
        <v/>
      </c>
      <c r="K14" s="62" t="n"/>
      <c r="L14" s="63">
        <f>C14/$B14-1</f>
        <v/>
      </c>
      <c r="M14" s="63">
        <f>D14/$B14-1</f>
        <v/>
      </c>
      <c r="N14" s="63">
        <f>E14/$B14-1</f>
        <v/>
      </c>
      <c r="O14" s="63">
        <f>F14/$B14-1</f>
        <v/>
      </c>
      <c r="P14" s="63">
        <f>G14/$B14-1</f>
        <v/>
      </c>
      <c r="Q14" s="64" t="n">
        <v>8</v>
      </c>
      <c r="R14" s="64" t="n">
        <v>1</v>
      </c>
    </row>
    <row r="15" ht="15" customHeight="1" s="43">
      <c r="A15" s="77" t="inlineStr">
        <is>
          <t>Planejamento de mídia</t>
        </is>
      </c>
      <c r="B15" s="78" t="n">
        <v>41136</v>
      </c>
      <c r="C15" s="78" t="n">
        <v>15000</v>
      </c>
      <c r="D15" s="78" t="n">
        <v>3816.05</v>
      </c>
      <c r="E15" s="78" t="n">
        <v>6686</v>
      </c>
      <c r="F15" s="78" t="n">
        <v>8000</v>
      </c>
      <c r="G15" s="78" t="n">
        <v>8760</v>
      </c>
      <c r="H15" s="79" t="n"/>
      <c r="I15" s="80">
        <f>MIN(E15:G15)</f>
        <v/>
      </c>
      <c r="J15" s="61">
        <f>INDEX($C$2:$G$2,MATCH(I15,C15:G15,0))</f>
        <v/>
      </c>
      <c r="K15" s="62" t="n"/>
      <c r="L15" s="63">
        <f>C15/$B15-1</f>
        <v/>
      </c>
      <c r="M15" s="63">
        <f>D15/$B15-1</f>
        <v/>
      </c>
      <c r="N15" s="63">
        <f>E15/$B15-1</f>
        <v/>
      </c>
      <c r="O15" s="63">
        <f>F15/$B15-1</f>
        <v/>
      </c>
      <c r="P15" s="63">
        <f>G15/$B15-1</f>
        <v/>
      </c>
      <c r="Q15" s="64" t="n">
        <v>17</v>
      </c>
      <c r="R15" s="64" t="n">
        <v>0</v>
      </c>
    </row>
    <row r="16" ht="15" customHeight="1" s="43">
      <c r="A16" s="77" t="inlineStr">
        <is>
          <t>Planejamento de ação promocional</t>
        </is>
      </c>
      <c r="B16" s="78" t="n">
        <v>41136</v>
      </c>
      <c r="C16" s="78" t="n">
        <v>5500</v>
      </c>
      <c r="D16" s="78" t="n">
        <v>15261.75</v>
      </c>
      <c r="E16" s="78" t="n">
        <v>26738</v>
      </c>
      <c r="F16" s="78" t="n">
        <v>28000</v>
      </c>
      <c r="G16" s="78" t="n">
        <v>37258</v>
      </c>
      <c r="H16" s="79" t="n"/>
      <c r="I16" s="80">
        <f>MIN(E16:G16)</f>
        <v/>
      </c>
      <c r="J16" s="61">
        <f>INDEX($C$2:$G$2,MATCH(I16,C16:G16,0))</f>
        <v/>
      </c>
      <c r="K16" s="62" t="n"/>
      <c r="L16" s="63">
        <f>C16/$B16-1</f>
        <v/>
      </c>
      <c r="M16" s="63">
        <f>D16/$B16-1</f>
        <v/>
      </c>
      <c r="N16" s="63">
        <f>E16/$B16-1</f>
        <v/>
      </c>
      <c r="O16" s="63">
        <f>F16/$B16-1</f>
        <v/>
      </c>
      <c r="P16" s="63">
        <f>G16/$B16-1</f>
        <v/>
      </c>
      <c r="Q16" s="64" t="n">
        <v>0</v>
      </c>
      <c r="R16" s="64" t="n">
        <v>0</v>
      </c>
    </row>
    <row r="17" ht="15" customHeight="1" s="43">
      <c r="A17" s="77" t="inlineStr">
        <is>
          <t>Planejamento de eventos / feiras</t>
        </is>
      </c>
      <c r="B17" s="78" t="n">
        <v>58766</v>
      </c>
      <c r="C17" s="78" t="n">
        <v>6500</v>
      </c>
      <c r="D17" s="78" t="n">
        <v>21802.2</v>
      </c>
      <c r="E17" s="78" t="n">
        <v>38198</v>
      </c>
      <c r="F17" s="78" t="n">
        <v>35000</v>
      </c>
      <c r="G17" s="78" t="n">
        <v>53592</v>
      </c>
      <c r="H17" s="79" t="n"/>
      <c r="I17" s="80">
        <f>MIN(E17:G17)</f>
        <v/>
      </c>
      <c r="J17" s="61">
        <f>INDEX($C$2:$G$2,MATCH(I17,C17:G17,0))</f>
        <v/>
      </c>
      <c r="K17" s="62" t="n"/>
      <c r="L17" s="63">
        <f>C17/$B17-1</f>
        <v/>
      </c>
      <c r="M17" s="63">
        <f>D17/$B17-1</f>
        <v/>
      </c>
      <c r="N17" s="63">
        <f>E17/$B17-1</f>
        <v/>
      </c>
      <c r="O17" s="63">
        <f>F17/$B17-1</f>
        <v/>
      </c>
      <c r="P17" s="63">
        <f>G17/$B17-1</f>
        <v/>
      </c>
      <c r="Q17" s="64" t="n">
        <v>1</v>
      </c>
      <c r="R17" s="64" t="n">
        <v>0</v>
      </c>
    </row>
    <row r="18" ht="15" customHeight="1" s="43">
      <c r="A18" s="77" t="inlineStr">
        <is>
          <t>Planejamento de brindes</t>
        </is>
      </c>
      <c r="B18" s="78" t="n">
        <v>29383</v>
      </c>
      <c r="C18" s="78" t="n">
        <v>2500</v>
      </c>
      <c r="D18" s="78" t="n">
        <v>10901.45</v>
      </c>
      <c r="E18" s="78" t="n">
        <v>19099</v>
      </c>
      <c r="F18" s="78" t="n">
        <v>7000</v>
      </c>
      <c r="G18" s="78" t="n">
        <v>26173</v>
      </c>
      <c r="H18" s="79" t="n"/>
      <c r="I18" s="80">
        <f>MIN(E18:G18)</f>
        <v/>
      </c>
      <c r="J18" s="61">
        <f>INDEX($C$2:$G$2,MATCH(I18,C18:G18,0))</f>
        <v/>
      </c>
      <c r="K18" s="62" t="n"/>
      <c r="L18" s="63">
        <f>C18/$B18-1</f>
        <v/>
      </c>
      <c r="M18" s="63">
        <f>D18/$B18-1</f>
        <v/>
      </c>
      <c r="N18" s="63">
        <f>E18/$B18-1</f>
        <v/>
      </c>
      <c r="O18" s="63">
        <f>F18/$B18-1</f>
        <v/>
      </c>
      <c r="P18" s="63">
        <f>G18/$B18-1</f>
        <v/>
      </c>
      <c r="Q18" s="64" t="n">
        <v>0</v>
      </c>
      <c r="R18" s="64" t="n">
        <v>0</v>
      </c>
    </row>
    <row r="19" ht="15" customHeight="1" s="43">
      <c r="A19" s="77" t="inlineStr">
        <is>
          <t>Planejamento para redes sociais</t>
        </is>
      </c>
      <c r="B19" s="78" t="n">
        <v>25754</v>
      </c>
      <c r="C19" s="78" t="n">
        <v>4416</v>
      </c>
      <c r="D19" s="78" t="n">
        <v>1359.4</v>
      </c>
      <c r="E19" s="78" t="n">
        <v>16740</v>
      </c>
      <c r="F19" s="78" t="n">
        <v>18000</v>
      </c>
      <c r="G19" s="78" t="n">
        <v>13400</v>
      </c>
      <c r="H19" s="79" t="n"/>
      <c r="I19" s="80">
        <f>MIN(E19:G19)</f>
        <v/>
      </c>
      <c r="J19" s="61">
        <f>INDEX($C$2:$G$2,MATCH(I19,C19:G19,0))</f>
        <v/>
      </c>
      <c r="K19" s="62" t="n"/>
      <c r="L19" s="63">
        <f>C19/$B19-1</f>
        <v/>
      </c>
      <c r="M19" s="63">
        <f>D19/$B19-1</f>
        <v/>
      </c>
      <c r="N19" s="63">
        <f>E19/$B19-1</f>
        <v/>
      </c>
      <c r="O19" s="63">
        <f>F19/$B19-1</f>
        <v/>
      </c>
      <c r="P19" s="63">
        <f>G19/$B19-1</f>
        <v/>
      </c>
      <c r="Q19" s="64" t="n">
        <v>10</v>
      </c>
      <c r="R19" s="64" t="n">
        <v>0</v>
      </c>
    </row>
    <row r="20" ht="15" customHeight="1" s="43">
      <c r="A20" s="77" t="inlineStr">
        <is>
          <t>Diagnóstico da presença digital</t>
        </is>
      </c>
      <c r="B20" s="78" t="n">
        <v>20767</v>
      </c>
      <c r="C20" s="78" t="n">
        <v>367</v>
      </c>
      <c r="D20" s="78" t="n">
        <v>7704.55</v>
      </c>
      <c r="E20" s="78" t="n">
        <v>13499</v>
      </c>
      <c r="F20" s="78" t="n">
        <v>15000</v>
      </c>
      <c r="G20" s="78" t="n">
        <v>19500</v>
      </c>
      <c r="H20" s="79" t="n"/>
      <c r="I20" s="80">
        <f>MIN(E20:G20)</f>
        <v/>
      </c>
      <c r="J20" s="61">
        <f>INDEX($C$2:$G$2,MATCH(I20,C20:G20,0))</f>
        <v/>
      </c>
      <c r="K20" s="62" t="n"/>
      <c r="L20" s="63">
        <f>C20/$B20-1</f>
        <v/>
      </c>
      <c r="M20" s="63">
        <f>D20/$B20-1</f>
        <v/>
      </c>
      <c r="N20" s="63">
        <f>E20/$B20-1</f>
        <v/>
      </c>
      <c r="O20" s="63">
        <f>F20/$B20-1</f>
        <v/>
      </c>
      <c r="P20" s="63">
        <f>G20/$B20-1</f>
        <v/>
      </c>
      <c r="Q20" s="64" t="n">
        <v>1</v>
      </c>
      <c r="R20" s="64" t="n">
        <v>0</v>
      </c>
    </row>
    <row r="21" ht="15" customHeight="1" s="43">
      <c r="A21" s="77" t="inlineStr">
        <is>
          <t>Análise estratégica de dados</t>
        </is>
      </c>
      <c r="B21" s="78" t="n">
        <v>14692</v>
      </c>
      <c r="C21" s="78" t="n">
        <v>5500</v>
      </c>
      <c r="D21" s="78" t="n">
        <v>5450.55</v>
      </c>
      <c r="E21" s="78" t="n">
        <v>9550</v>
      </c>
      <c r="F21" s="78" t="n">
        <v>11000</v>
      </c>
      <c r="G21" s="78" t="n">
        <v>4200</v>
      </c>
      <c r="H21" s="79" t="n"/>
      <c r="I21" s="80">
        <f>MIN(E21:G21)</f>
        <v/>
      </c>
      <c r="J21" s="61">
        <f>INDEX($C$2:$G$2,MATCH(I21,C21:G21,0))</f>
        <v/>
      </c>
      <c r="K21" s="62" t="n"/>
      <c r="L21" s="63">
        <f>C21/$B21-1</f>
        <v/>
      </c>
      <c r="M21" s="63">
        <f>D21/$B21-1</f>
        <v/>
      </c>
      <c r="N21" s="63">
        <f>E21/$B21-1</f>
        <v/>
      </c>
      <c r="O21" s="63">
        <f>F21/$B21-1</f>
        <v/>
      </c>
      <c r="P21" s="63">
        <f>G21/$B21-1</f>
        <v/>
      </c>
      <c r="Q21" s="64" t="n">
        <v>4</v>
      </c>
      <c r="R21" s="64" t="n">
        <v>0</v>
      </c>
    </row>
    <row r="22" ht="15" customHeight="1" s="43">
      <c r="A22" s="77" t="inlineStr">
        <is>
          <t>Relatório de campanha</t>
        </is>
      </c>
      <c r="B22" s="78" t="n">
        <v>11455</v>
      </c>
      <c r="C22" s="78" t="n">
        <v>4048</v>
      </c>
      <c r="D22" s="78" t="n">
        <v>4250.05</v>
      </c>
      <c r="E22" s="78" t="n">
        <v>7446</v>
      </c>
      <c r="F22" s="78" t="n">
        <v>8000</v>
      </c>
      <c r="G22" s="78" t="n">
        <v>2800</v>
      </c>
      <c r="H22" s="79" t="n"/>
      <c r="I22" s="80">
        <f>MIN(E22:G22)</f>
        <v/>
      </c>
      <c r="J22" s="61">
        <f>INDEX($C$2:$G$2,MATCH(I22,C22:G22,0))</f>
        <v/>
      </c>
      <c r="K22" s="62" t="n"/>
      <c r="L22" s="63">
        <f>C22/$B22-1</f>
        <v/>
      </c>
      <c r="M22" s="63">
        <f>D22/$B22-1</f>
        <v/>
      </c>
      <c r="N22" s="63">
        <f>E22/$B22-1</f>
        <v/>
      </c>
      <c r="O22" s="63">
        <f>F22/$B22-1</f>
        <v/>
      </c>
      <c r="P22" s="63">
        <f>G22/$B22-1</f>
        <v/>
      </c>
      <c r="Q22" s="64" t="n">
        <v>4</v>
      </c>
      <c r="R22" s="64" t="n">
        <v>0</v>
      </c>
    </row>
    <row r="23" ht="15" customHeight="1" s="43">
      <c r="A23" s="77" t="inlineStr">
        <is>
          <t>Monitoramento e relatório mensal</t>
        </is>
      </c>
      <c r="B23" s="78" t="n">
        <v>6615</v>
      </c>
      <c r="C23" s="78" t="n">
        <v>4500</v>
      </c>
      <c r="D23" s="78" t="n">
        <v>2454.2</v>
      </c>
      <c r="E23" s="78" t="n">
        <v>4300</v>
      </c>
      <c r="F23" s="78" t="n">
        <v>5000</v>
      </c>
      <c r="G23" s="78" t="n">
        <v>10900</v>
      </c>
      <c r="H23" s="79" t="n"/>
      <c r="I23" s="80">
        <f>MIN(E23:G23)</f>
        <v/>
      </c>
      <c r="J23" s="61">
        <f>INDEX($C$2:$G$2,MATCH(I23,C23:G23,0))</f>
        <v/>
      </c>
      <c r="K23" s="62" t="n"/>
      <c r="L23" s="63">
        <f>C23/$B23-1</f>
        <v/>
      </c>
      <c r="M23" s="63">
        <f>D23/$B23-1</f>
        <v/>
      </c>
      <c r="N23" s="63">
        <f>E23/$B23-1</f>
        <v/>
      </c>
      <c r="O23" s="63">
        <f>F23/$B23-1</f>
        <v/>
      </c>
      <c r="P23" s="63">
        <f>G23/$B23-1</f>
        <v/>
      </c>
      <c r="Q23" s="64" t="n">
        <v>12</v>
      </c>
      <c r="R23" s="64" t="n">
        <v>0</v>
      </c>
    </row>
    <row r="24" ht="15" customHeight="1" s="43">
      <c r="A24" s="77" t="inlineStr">
        <is>
          <t>Banner / cartaz / pôster (criação)</t>
        </is>
      </c>
      <c r="B24" s="78" t="n">
        <v>5715</v>
      </c>
      <c r="C24" s="78" t="n">
        <v>1104</v>
      </c>
      <c r="D24" s="78" t="n">
        <v>2120.3</v>
      </c>
      <c r="E24" s="78" t="n">
        <v>3715</v>
      </c>
      <c r="F24" s="78" t="n">
        <v>4000</v>
      </c>
      <c r="G24" s="78" t="n">
        <v>2187</v>
      </c>
      <c r="H24" s="79" t="n"/>
      <c r="I24" s="80">
        <f>MIN(E24:G24)</f>
        <v/>
      </c>
      <c r="J24" s="61">
        <f>INDEX($C$2:$G$2,MATCH(I24,C24:G24,0))</f>
        <v/>
      </c>
      <c r="K24" s="62" t="n"/>
      <c r="L24" s="63">
        <f>C24/$B24-1</f>
        <v/>
      </c>
      <c r="M24" s="63">
        <f>D24/$B24-1</f>
        <v/>
      </c>
      <c r="N24" s="63">
        <f>E24/$B24-1</f>
        <v/>
      </c>
      <c r="O24" s="63">
        <f>F24/$B24-1</f>
        <v/>
      </c>
      <c r="P24" s="63">
        <f>G24/$B24-1</f>
        <v/>
      </c>
      <c r="Q24" s="64" t="n">
        <v>35</v>
      </c>
      <c r="R24" s="64" t="n">
        <v>1</v>
      </c>
    </row>
    <row r="25" ht="15" customHeight="1" s="43">
      <c r="A25" s="77" t="inlineStr">
        <is>
          <t>Flyer / volante (criação)</t>
        </is>
      </c>
      <c r="B25" s="78" t="n">
        <v>4572</v>
      </c>
      <c r="C25" s="78" t="n">
        <v>1656</v>
      </c>
      <c r="D25" s="78" t="n">
        <v>1696.1</v>
      </c>
      <c r="E25" s="78" t="n">
        <v>2972</v>
      </c>
      <c r="F25" s="78" t="n">
        <v>3500</v>
      </c>
      <c r="G25" s="78" t="n">
        <v>1700</v>
      </c>
      <c r="H25" s="79" t="n"/>
      <c r="I25" s="80">
        <f>MIN(E25:G25)</f>
        <v/>
      </c>
      <c r="J25" s="61">
        <f>INDEX($C$2:$G$2,MATCH(I25,C25:G25,0))</f>
        <v/>
      </c>
      <c r="K25" s="62" t="n"/>
      <c r="L25" s="63">
        <f>C25/$B25-1</f>
        <v/>
      </c>
      <c r="M25" s="63">
        <f>D25/$B25-1</f>
        <v/>
      </c>
      <c r="N25" s="63">
        <f>E25/$B25-1</f>
        <v/>
      </c>
      <c r="O25" s="63">
        <f>F25/$B25-1</f>
        <v/>
      </c>
      <c r="P25" s="63">
        <f>G25/$B25-1</f>
        <v/>
      </c>
      <c r="Q25" s="64" t="n">
        <v>13</v>
      </c>
      <c r="R25" s="64" t="n">
        <v>0</v>
      </c>
    </row>
    <row r="26" ht="15" customHeight="1" s="43">
      <c r="A26" s="77" t="inlineStr">
        <is>
          <t>Folder (criação)</t>
        </is>
      </c>
      <c r="B26" s="78" t="n">
        <v>8868</v>
      </c>
      <c r="C26" s="78" t="n">
        <v>3496</v>
      </c>
      <c r="D26" s="78" t="n">
        <v>3290</v>
      </c>
      <c r="E26" s="78" t="n">
        <v>5764</v>
      </c>
      <c r="F26" s="78" t="n">
        <v>7000</v>
      </c>
      <c r="G26" s="78" t="n">
        <v>3645</v>
      </c>
      <c r="H26" s="79" t="n"/>
      <c r="I26" s="80">
        <f>MIN(E26:G26)</f>
        <v/>
      </c>
      <c r="J26" s="61">
        <f>INDEX($C$2:$G$2,MATCH(I26,C26:G26,0))</f>
        <v/>
      </c>
      <c r="K26" s="62" t="n"/>
      <c r="L26" s="63">
        <f>C26/$B26-1</f>
        <v/>
      </c>
      <c r="M26" s="63">
        <f>D26/$B26-1</f>
        <v/>
      </c>
      <c r="N26" s="63">
        <f>E26/$B26-1</f>
        <v/>
      </c>
      <c r="O26" s="63">
        <f>F26/$B26-1</f>
        <v/>
      </c>
      <c r="P26" s="63">
        <f>G26/$B26-1</f>
        <v/>
      </c>
      <c r="Q26" s="64" t="n">
        <v>15</v>
      </c>
      <c r="R26" s="64" t="n">
        <v>1</v>
      </c>
    </row>
    <row r="27" ht="15" customHeight="1" s="43">
      <c r="A27" s="77" t="inlineStr">
        <is>
          <t>Mala direta</t>
        </is>
      </c>
      <c r="B27" s="78" t="n">
        <v>7122</v>
      </c>
      <c r="C27" s="78" t="n">
        <v>1840</v>
      </c>
      <c r="D27" s="78" t="n">
        <v>2642.15</v>
      </c>
      <c r="E27" s="78" t="n">
        <v>4629</v>
      </c>
      <c r="F27" s="78" t="n">
        <v>5000</v>
      </c>
      <c r="G27" s="78" t="n">
        <v>6800</v>
      </c>
      <c r="H27" s="79" t="n"/>
      <c r="I27" s="80">
        <f>MIN(E27:G27)</f>
        <v/>
      </c>
      <c r="J27" s="61">
        <f>INDEX($C$2:$G$2,MATCH(I27,C27:G27,0))</f>
        <v/>
      </c>
      <c r="K27" s="62" t="n"/>
      <c r="L27" s="63">
        <f>C27/$B27-1</f>
        <v/>
      </c>
      <c r="M27" s="63">
        <f>D27/$B27-1</f>
        <v/>
      </c>
      <c r="N27" s="63">
        <f>E27/$B27-1</f>
        <v/>
      </c>
      <c r="O27" s="63">
        <f>F27/$B27-1</f>
        <v/>
      </c>
      <c r="P27" s="63">
        <f>G27/$B27-1</f>
        <v/>
      </c>
      <c r="Q27" s="64" t="n">
        <v>0</v>
      </c>
      <c r="R27" s="64" t="n">
        <v>0</v>
      </c>
    </row>
    <row r="28" ht="15" customHeight="1" s="43">
      <c r="A28" s="77" t="inlineStr">
        <is>
          <t>Email marketing (imagem)</t>
        </is>
      </c>
      <c r="B28" s="78" t="n">
        <v>3824</v>
      </c>
      <c r="C28" s="78" t="n">
        <v>1104</v>
      </c>
      <c r="D28" s="78" t="n">
        <v>1418.9</v>
      </c>
      <c r="E28" s="78" t="n">
        <v>2486</v>
      </c>
      <c r="F28" s="78" t="n">
        <v>2500</v>
      </c>
      <c r="G28" s="78" t="n">
        <v>2430</v>
      </c>
      <c r="H28" s="79" t="n"/>
      <c r="I28" s="80">
        <f>MIN(E28:G28)</f>
        <v/>
      </c>
      <c r="J28" s="61">
        <f>INDEX($C$2:$G$2,MATCH(I28,C28:G28,0))</f>
        <v/>
      </c>
      <c r="K28" s="62" t="n"/>
      <c r="L28" s="63">
        <f>C28/$B28-1</f>
        <v/>
      </c>
      <c r="M28" s="63">
        <f>D28/$B28-1</f>
        <v/>
      </c>
      <c r="N28" s="63">
        <f>E28/$B28-1</f>
        <v/>
      </c>
      <c r="O28" s="63">
        <f>F28/$B28-1</f>
        <v/>
      </c>
      <c r="P28" s="63">
        <f>G28/$B28-1</f>
        <v/>
      </c>
      <c r="Q28" s="64" t="n">
        <v>32</v>
      </c>
      <c r="R28" s="64" t="n">
        <v>0</v>
      </c>
    </row>
    <row r="29" ht="15" customHeight="1" s="43">
      <c r="A29" s="77" t="inlineStr">
        <is>
          <t>Infográfico (JPG / HTML)</t>
        </is>
      </c>
      <c r="B29" s="78" t="n">
        <v>11904</v>
      </c>
      <c r="C29" s="78" t="n">
        <v>4048</v>
      </c>
      <c r="D29" s="78" t="n">
        <v>4416.65</v>
      </c>
      <c r="E29" s="78" t="n">
        <v>7738</v>
      </c>
      <c r="F29" s="78" t="n">
        <v>8000</v>
      </c>
      <c r="G29" s="78" t="n">
        <v>6200</v>
      </c>
      <c r="H29" s="79" t="n"/>
      <c r="I29" s="80">
        <f>MIN(E29:G29)</f>
        <v/>
      </c>
      <c r="J29" s="61">
        <f>INDEX($C$2:$G$2,MATCH(I29,C29:G29,0))</f>
        <v/>
      </c>
      <c r="K29" s="62" t="n"/>
      <c r="L29" s="63">
        <f>C29/$B29-1</f>
        <v/>
      </c>
      <c r="M29" s="63">
        <f>D29/$B29-1</f>
        <v/>
      </c>
      <c r="N29" s="63">
        <f>E29/$B29-1</f>
        <v/>
      </c>
      <c r="O29" s="63">
        <f>F29/$B29-1</f>
        <v/>
      </c>
      <c r="P29" s="63">
        <f>G29/$B29-1</f>
        <v/>
      </c>
      <c r="Q29" s="64" t="n">
        <v>6</v>
      </c>
      <c r="R29" s="64" t="n">
        <v>2</v>
      </c>
    </row>
    <row r="30" ht="15" customHeight="1" s="43">
      <c r="A30" s="77" t="inlineStr">
        <is>
          <t>Tabelas / gráficos</t>
        </is>
      </c>
      <c r="B30" s="78" t="n">
        <v>4216</v>
      </c>
      <c r="C30" s="78" t="n">
        <v>1104</v>
      </c>
      <c r="D30" s="78" t="n">
        <v>1564.15</v>
      </c>
      <c r="E30" s="78" t="n">
        <v>826</v>
      </c>
      <c r="F30" s="78" t="n">
        <v>3000</v>
      </c>
      <c r="G30" s="78" t="n">
        <v>1080</v>
      </c>
      <c r="H30" s="79" t="n"/>
      <c r="I30" s="80">
        <f>MIN(E30:G30)</f>
        <v/>
      </c>
      <c r="J30" s="61">
        <f>INDEX($C$2:$G$2,MATCH(I30,C30:G30,0))</f>
        <v/>
      </c>
      <c r="K30" s="62" t="n"/>
      <c r="L30" s="63">
        <f>C30/$B30-1</f>
        <v/>
      </c>
      <c r="M30" s="63">
        <f>D30/$B30-1</f>
        <v/>
      </c>
      <c r="N30" s="63">
        <f>E30/$B30-1</f>
        <v/>
      </c>
      <c r="O30" s="63">
        <f>F30/$B30-1</f>
        <v/>
      </c>
      <c r="P30" s="63">
        <f>G30/$B30-1</f>
        <v/>
      </c>
      <c r="Q30" s="64" t="n">
        <v>0</v>
      </c>
      <c r="R30" s="64" t="n">
        <v>0</v>
      </c>
    </row>
    <row r="31" ht="15" customHeight="1" s="43">
      <c r="A31" s="77" t="inlineStr">
        <is>
          <t>Apresentação multimídia (projeto gráfico)</t>
        </is>
      </c>
      <c r="B31" s="78" t="n">
        <v>25684</v>
      </c>
      <c r="C31" s="78" t="n">
        <v>4784</v>
      </c>
      <c r="D31" s="78" t="n">
        <v>9528.75</v>
      </c>
      <c r="E31" s="78" t="n">
        <v>16695</v>
      </c>
      <c r="F31" s="78" t="n">
        <v>18000</v>
      </c>
      <c r="G31" s="78" t="n">
        <v>18900</v>
      </c>
      <c r="H31" s="79" t="n"/>
      <c r="I31" s="80">
        <f>MIN(E31:G31)</f>
        <v/>
      </c>
      <c r="J31" s="61">
        <f>INDEX($C$2:$G$2,MATCH(I31,C31:G31,0))</f>
        <v/>
      </c>
      <c r="K31" s="62" t="n"/>
      <c r="L31" s="63">
        <f>C31/$B31-1</f>
        <v/>
      </c>
      <c r="M31" s="63">
        <f>D31/$B31-1</f>
        <v/>
      </c>
      <c r="N31" s="63">
        <f>E31/$B31-1</f>
        <v/>
      </c>
      <c r="O31" s="63">
        <f>F31/$B31-1</f>
        <v/>
      </c>
      <c r="P31" s="63">
        <f>G31/$B31-1</f>
        <v/>
      </c>
      <c r="Q31" s="64" t="n">
        <v>3</v>
      </c>
      <c r="R31" s="64" t="n">
        <v>0</v>
      </c>
    </row>
    <row r="32" ht="15" customHeight="1" s="43">
      <c r="A32" s="77" t="inlineStr">
        <is>
          <t>Apresentação multimídia (slide adicional)</t>
        </is>
      </c>
      <c r="B32" s="78" t="n">
        <v>5137</v>
      </c>
      <c r="C32" s="78" t="n">
        <v>368</v>
      </c>
      <c r="D32" s="78" t="n">
        <v>1905.75</v>
      </c>
      <c r="E32" s="78" t="n">
        <v>3339</v>
      </c>
      <c r="F32" s="78" t="n">
        <v>3500</v>
      </c>
      <c r="G32" s="78" t="n">
        <v>880</v>
      </c>
      <c r="H32" s="79" t="n"/>
      <c r="I32" s="80">
        <f>MIN(E32:G32)</f>
        <v/>
      </c>
      <c r="J32" s="61">
        <f>INDEX($C$2:$G$2,MATCH(I32,C32:G32,0))</f>
        <v/>
      </c>
      <c r="K32" s="62" t="n"/>
      <c r="L32" s="63">
        <f>C32/$B32-1</f>
        <v/>
      </c>
      <c r="M32" s="63">
        <f>D32/$B32-1</f>
        <v/>
      </c>
      <c r="N32" s="63">
        <f>E32/$B32-1</f>
        <v/>
      </c>
      <c r="O32" s="63">
        <f>F32/$B32-1</f>
        <v/>
      </c>
      <c r="P32" s="63">
        <f>G32/$B32-1</f>
        <v/>
      </c>
      <c r="Q32" s="64" t="n">
        <v>0</v>
      </c>
      <c r="R32" s="64" t="n">
        <v>0</v>
      </c>
    </row>
    <row r="33" ht="15" customHeight="1" s="43">
      <c r="A33" s="77" t="inlineStr">
        <is>
          <t>Landing page</t>
        </is>
      </c>
      <c r="B33" s="78" t="n">
        <v>25419</v>
      </c>
      <c r="C33" s="78" t="n">
        <v>8096</v>
      </c>
      <c r="D33" s="78" t="n">
        <v>6565.3</v>
      </c>
      <c r="E33" s="78" t="n">
        <v>11502</v>
      </c>
      <c r="F33" s="78" t="n">
        <v>14000</v>
      </c>
      <c r="G33" s="78" t="n">
        <v>7290</v>
      </c>
      <c r="H33" s="79" t="n"/>
      <c r="I33" s="80">
        <f>MIN(E33:G33)</f>
        <v/>
      </c>
      <c r="J33" s="61">
        <f>INDEX($C$2:$G$2,MATCH(I33,C33:G33,0))</f>
        <v/>
      </c>
      <c r="K33" s="62" t="n"/>
      <c r="L33" s="63">
        <f>C33/$B33-1</f>
        <v/>
      </c>
      <c r="M33" s="63">
        <f>D33/$B33-1</f>
        <v/>
      </c>
      <c r="N33" s="63">
        <f>E33/$B33-1</f>
        <v/>
      </c>
      <c r="O33" s="63">
        <f>F33/$B33-1</f>
        <v/>
      </c>
      <c r="P33" s="63">
        <f>G33/$B33-1</f>
        <v/>
      </c>
      <c r="Q33" s="64" t="n">
        <v>3</v>
      </c>
      <c r="R33" s="64" t="n">
        <v>2</v>
      </c>
    </row>
    <row r="34" ht="15" customHeight="1" s="43">
      <c r="A34" s="77" t="inlineStr">
        <is>
          <t>Hotsite (baixa complexidade)</t>
        </is>
      </c>
      <c r="B34" s="78" t="n">
        <v>17696</v>
      </c>
      <c r="C34" s="78" t="n">
        <v>3312</v>
      </c>
      <c r="D34" s="78" t="n">
        <v>9430.4</v>
      </c>
      <c r="E34" s="78" t="n">
        <v>16522</v>
      </c>
      <c r="F34" s="78" t="n">
        <v>20000</v>
      </c>
      <c r="G34" s="78" t="n">
        <v>12150</v>
      </c>
      <c r="H34" s="79" t="n"/>
      <c r="I34" s="80">
        <f>MIN(E34:G34)</f>
        <v/>
      </c>
      <c r="J34" s="61">
        <f>INDEX($C$2:$G$2,MATCH(I34,C34:G34,0))</f>
        <v/>
      </c>
      <c r="K34" s="62" t="n"/>
      <c r="L34" s="63">
        <f>C34/$B34-1</f>
        <v/>
      </c>
      <c r="M34" s="63">
        <f>D34/$B34-1</f>
        <v/>
      </c>
      <c r="N34" s="63">
        <f>E34/$B34-1</f>
        <v/>
      </c>
      <c r="O34" s="63">
        <f>F34/$B34-1</f>
        <v/>
      </c>
      <c r="P34" s="63">
        <f>G34/$B34-1</f>
        <v/>
      </c>
      <c r="Q34" s="64" t="n">
        <v>0</v>
      </c>
      <c r="R34" s="64" t="n">
        <v>0</v>
      </c>
    </row>
    <row r="35" ht="15" customHeight="1" s="43">
      <c r="A35" s="77" t="inlineStr">
        <is>
          <t>Hotsite (média complexidade)</t>
        </is>
      </c>
      <c r="B35" s="78" t="n">
        <v>40957</v>
      </c>
      <c r="C35" s="78" t="n">
        <v>10672</v>
      </c>
      <c r="D35" s="78" t="n">
        <v>15195.25</v>
      </c>
      <c r="E35" s="78" t="n">
        <v>26622</v>
      </c>
      <c r="F35" s="78" t="n">
        <v>30000</v>
      </c>
      <c r="G35" s="78" t="n">
        <v>24300</v>
      </c>
      <c r="H35" s="79" t="n"/>
      <c r="I35" s="80">
        <f>MIN(E35:G35)</f>
        <v/>
      </c>
      <c r="J35" s="61">
        <f>INDEX($C$2:$G$2,MATCH(I35,C35:G35,0))</f>
        <v/>
      </c>
      <c r="K35" s="62" t="n"/>
      <c r="L35" s="63">
        <f>C35/$B35-1</f>
        <v/>
      </c>
      <c r="M35" s="63">
        <f>D35/$B35-1</f>
        <v/>
      </c>
      <c r="N35" s="63">
        <f>E35/$B35-1</f>
        <v/>
      </c>
      <c r="O35" s="63">
        <f>F35/$B35-1</f>
        <v/>
      </c>
      <c r="P35" s="63">
        <f>G35/$B35-1</f>
        <v/>
      </c>
      <c r="Q35" s="64" t="n">
        <v>0</v>
      </c>
      <c r="R35" s="64" t="n">
        <v>0</v>
      </c>
    </row>
    <row r="36" ht="15" customHeight="1" s="43">
      <c r="A36" s="77" t="inlineStr">
        <is>
          <t>Roteiro para vídeo até 60”</t>
        </is>
      </c>
      <c r="B36" s="78" t="n">
        <v>19364</v>
      </c>
      <c r="C36" s="78" t="n">
        <v>552</v>
      </c>
      <c r="D36" s="78" t="n">
        <v>7184.1</v>
      </c>
      <c r="E36" s="78" t="n">
        <v>12587</v>
      </c>
      <c r="F36" s="78" t="n">
        <v>9000</v>
      </c>
      <c r="G36" s="78" t="n">
        <v>7800</v>
      </c>
      <c r="H36" s="79" t="n"/>
      <c r="I36" s="80">
        <f>MIN(E36:G36)</f>
        <v/>
      </c>
      <c r="J36" s="61">
        <f>INDEX($C$2:$G$2,MATCH(I36,C36:G36,0))</f>
        <v/>
      </c>
      <c r="K36" s="62" t="n"/>
      <c r="L36" s="63">
        <f>C36/$B36-1</f>
        <v/>
      </c>
      <c r="M36" s="63">
        <f>D36/$B36-1</f>
        <v/>
      </c>
      <c r="N36" s="63">
        <f>E36/$B36-1</f>
        <v/>
      </c>
      <c r="O36" s="63">
        <f>F36/$B36-1</f>
        <v/>
      </c>
      <c r="P36" s="63">
        <f>G36/$B36-1</f>
        <v/>
      </c>
      <c r="Q36" s="64" t="n">
        <v>1</v>
      </c>
      <c r="R36" s="64" t="n">
        <v>1</v>
      </c>
    </row>
    <row r="37" ht="15" customHeight="1" s="43">
      <c r="A37" s="77" t="inlineStr">
        <is>
          <t>Roteiro para vídeo acima de 60”</t>
        </is>
      </c>
      <c r="B37" s="78" t="n">
        <v>29043</v>
      </c>
      <c r="C37" s="78" t="n">
        <v>1472</v>
      </c>
      <c r="D37" s="78" t="n">
        <v>10774.75</v>
      </c>
      <c r="E37" s="78" t="n">
        <v>18878</v>
      </c>
      <c r="F37" s="78" t="n">
        <v>18000</v>
      </c>
      <c r="G37" s="78" t="n">
        <v>11000</v>
      </c>
      <c r="H37" s="79" t="n"/>
      <c r="I37" s="80">
        <f>MIN(E37:G37)</f>
        <v/>
      </c>
      <c r="J37" s="61">
        <f>INDEX($C$2:$G$2,MATCH(I37,C37:G37,0))</f>
        <v/>
      </c>
      <c r="K37" s="62" t="n"/>
      <c r="L37" s="63">
        <f>C37/$B37-1</f>
        <v/>
      </c>
      <c r="M37" s="63">
        <f>D37/$B37-1</f>
        <v/>
      </c>
      <c r="N37" s="63">
        <f>E37/$B37-1</f>
        <v/>
      </c>
      <c r="O37" s="63">
        <f>F37/$B37-1</f>
        <v/>
      </c>
      <c r="P37" s="63">
        <f>G37/$B37-1</f>
        <v/>
      </c>
      <c r="Q37" s="64" t="n">
        <v>0</v>
      </c>
      <c r="R37" s="64" t="n">
        <v>0</v>
      </c>
    </row>
    <row r="38" ht="15" customHeight="1" s="43">
      <c r="A38" s="77" t="inlineStr">
        <is>
          <t>Vídeo institucional até 5 minutos</t>
        </is>
      </c>
      <c r="B38" s="78" t="n">
        <v>29102</v>
      </c>
      <c r="C38" s="78" t="n">
        <v>9568</v>
      </c>
      <c r="D38" s="78" t="n">
        <v>10796.8</v>
      </c>
      <c r="E38" s="78" t="n">
        <v>18916</v>
      </c>
      <c r="F38" s="78" t="n">
        <v>24000</v>
      </c>
      <c r="G38" s="78" t="n">
        <v>60000</v>
      </c>
      <c r="H38" s="79" t="n"/>
      <c r="I38" s="80">
        <f>MIN(E38:G38)</f>
        <v/>
      </c>
      <c r="J38" s="61">
        <f>INDEX($C$2:$G$2,MATCH(I38,C38:G38,0))</f>
        <v/>
      </c>
      <c r="K38" s="62" t="n"/>
      <c r="L38" s="63">
        <f>C38/$B38-1</f>
        <v/>
      </c>
      <c r="M38" s="63">
        <f>D38/$B38-1</f>
        <v/>
      </c>
      <c r="N38" s="63">
        <f>E38/$B38-1</f>
        <v/>
      </c>
      <c r="O38" s="63">
        <f>F38/$B38-1</f>
        <v/>
      </c>
      <c r="P38" s="63">
        <f>G38/$B38-1</f>
        <v/>
      </c>
      <c r="Q38" s="64" t="n">
        <v>12</v>
      </c>
      <c r="R38" s="64" t="n">
        <v>9</v>
      </c>
    </row>
    <row r="39" ht="15" customHeight="1" s="43">
      <c r="A39" s="77" t="inlineStr">
        <is>
          <t>Filme / VT até 60”</t>
        </is>
      </c>
      <c r="B39" s="78" t="n">
        <v>19364</v>
      </c>
      <c r="C39" s="78" t="n">
        <v>2024</v>
      </c>
      <c r="D39" s="78" t="n">
        <v>7184.1</v>
      </c>
      <c r="E39" s="78" t="n">
        <v>12587</v>
      </c>
      <c r="F39" s="78" t="n">
        <v>16000</v>
      </c>
      <c r="G39" s="78" t="n">
        <v>12800</v>
      </c>
      <c r="H39" s="79" t="n"/>
      <c r="I39" s="80">
        <f>MIN(E39:G39)</f>
        <v/>
      </c>
      <c r="J39" s="61">
        <f>INDEX($C$2:$G$2,MATCH(I39,C39:G39,0))</f>
        <v/>
      </c>
      <c r="K39" s="62" t="n"/>
      <c r="L39" s="63">
        <f>C39/$B39-1</f>
        <v/>
      </c>
      <c r="M39" s="63">
        <f>D39/$B39-1</f>
        <v/>
      </c>
      <c r="N39" s="63">
        <f>E39/$B39-1</f>
        <v/>
      </c>
      <c r="O39" s="63">
        <f>F39/$B39-1</f>
        <v/>
      </c>
      <c r="P39" s="63">
        <f>G39/$B39-1</f>
        <v/>
      </c>
      <c r="Q39" s="64" t="n">
        <v>0</v>
      </c>
      <c r="R39" s="64" t="n">
        <v>0</v>
      </c>
    </row>
    <row r="40" ht="15" customHeight="1" s="43">
      <c r="A40" s="77" t="inlineStr">
        <is>
          <t>Filme / VT acima de 60”</t>
        </is>
      </c>
      <c r="B40" s="78" t="n">
        <v>29043</v>
      </c>
      <c r="C40" s="78" t="n">
        <v>4784</v>
      </c>
      <c r="D40" s="78" t="n">
        <v>10774.75</v>
      </c>
      <c r="E40" s="78" t="n">
        <v>18878</v>
      </c>
      <c r="F40" s="78" t="n">
        <v>24000</v>
      </c>
      <c r="G40" s="78" t="n">
        <v>14000</v>
      </c>
      <c r="H40" s="79" t="n"/>
      <c r="I40" s="80">
        <f>MIN(E40:G40)</f>
        <v/>
      </c>
      <c r="J40" s="61">
        <f>INDEX($C$2:$G$2,MATCH(I40,C40:G40,0))</f>
        <v/>
      </c>
      <c r="K40" s="62" t="n"/>
      <c r="L40" s="63">
        <f>C40/$B40-1</f>
        <v/>
      </c>
      <c r="M40" s="63">
        <f>D40/$B40-1</f>
        <v/>
      </c>
      <c r="N40" s="63">
        <f>E40/$B40-1</f>
        <v/>
      </c>
      <c r="O40" s="63">
        <f>F40/$B40-1</f>
        <v/>
      </c>
      <c r="P40" s="63">
        <f>G40/$B40-1</f>
        <v/>
      </c>
      <c r="Q40" s="64" t="n">
        <v>0</v>
      </c>
      <c r="R40" s="64" t="n">
        <v>0</v>
      </c>
    </row>
    <row r="41" ht="15" customHeight="1" s="43">
      <c r="A41" s="77" t="inlineStr">
        <is>
          <t>Vinheta eletrônica</t>
        </is>
      </c>
      <c r="B41" s="78" t="n">
        <v>12093</v>
      </c>
      <c r="C41" s="78" t="n">
        <v>2024</v>
      </c>
      <c r="D41" s="78" t="n">
        <v>4486.3</v>
      </c>
      <c r="E41" s="78" t="n">
        <v>8463</v>
      </c>
      <c r="F41" s="78" t="n">
        <v>11000</v>
      </c>
      <c r="G41" s="78" t="n">
        <v>7800</v>
      </c>
      <c r="H41" s="79" t="n"/>
      <c r="I41" s="80">
        <f>MIN(E41:G41)</f>
        <v/>
      </c>
      <c r="J41" s="61">
        <f>INDEX($C$2:$G$2,MATCH(I41,C41:G41,0))</f>
        <v/>
      </c>
      <c r="K41" s="62" t="n"/>
      <c r="L41" s="63">
        <f>C41/$B41-1</f>
        <v/>
      </c>
      <c r="M41" s="63">
        <f>D41/$B41-1</f>
        <v/>
      </c>
      <c r="N41" s="63">
        <f>E41/$B41-1</f>
        <v/>
      </c>
      <c r="O41" s="63">
        <f>F41/$B41-1</f>
        <v/>
      </c>
      <c r="P41" s="63">
        <f>G41/$B41-1</f>
        <v/>
      </c>
      <c r="Q41" s="64" t="n">
        <v>4</v>
      </c>
      <c r="R41" s="64" t="n">
        <v>3</v>
      </c>
    </row>
    <row r="42" ht="15" customHeight="1" s="43">
      <c r="A42" s="77" t="inlineStr">
        <is>
          <t>Banner animado / vídeo digital</t>
        </is>
      </c>
      <c r="B42" s="78" t="n">
        <v>5678</v>
      </c>
      <c r="C42" s="78" t="n">
        <v>1288</v>
      </c>
      <c r="D42" s="78" t="n">
        <v>2106.3</v>
      </c>
      <c r="E42" s="78" t="n">
        <v>3691</v>
      </c>
      <c r="F42" s="78" t="n">
        <v>4500</v>
      </c>
      <c r="G42" s="78" t="n">
        <v>4860</v>
      </c>
      <c r="H42" s="79" t="n"/>
      <c r="I42" s="80">
        <f>MIN(E42:G42)</f>
        <v/>
      </c>
      <c r="J42" s="61">
        <f>INDEX($C$2:$G$2,MATCH(I42,C42:G42,0))</f>
        <v/>
      </c>
      <c r="K42" s="62" t="n"/>
      <c r="L42" s="63">
        <f>C42/$B42-1</f>
        <v/>
      </c>
      <c r="M42" s="63">
        <f>D42/$B42-1</f>
        <v/>
      </c>
      <c r="N42" s="63">
        <f>E42/$B42-1</f>
        <v/>
      </c>
      <c r="O42" s="63">
        <f>F42/$B42-1</f>
        <v/>
      </c>
      <c r="P42" s="63">
        <f>G42/$B42-1</f>
        <v/>
      </c>
      <c r="Q42" s="64" t="n">
        <v>40</v>
      </c>
      <c r="R42" s="64" t="n">
        <v>2</v>
      </c>
    </row>
    <row r="43" ht="15" customHeight="1" s="43">
      <c r="A43" s="77" t="inlineStr">
        <is>
          <t>Motion design (peças digitais)</t>
        </is>
      </c>
      <c r="B43" s="78" t="n">
        <v>13020</v>
      </c>
      <c r="C43" s="78" t="n">
        <v>2208</v>
      </c>
      <c r="D43" s="78" t="n">
        <v>4830.7</v>
      </c>
      <c r="E43" s="78" t="n">
        <v>8463</v>
      </c>
      <c r="F43" s="78" t="n">
        <v>1000</v>
      </c>
      <c r="G43" s="78" t="n">
        <v>5400</v>
      </c>
      <c r="H43" s="79" t="n"/>
      <c r="I43" s="80">
        <f>MIN(E43:G43)</f>
        <v/>
      </c>
      <c r="J43" s="61">
        <f>INDEX($C$2:$G$2,MATCH(I43,C43:G43,0))</f>
        <v/>
      </c>
      <c r="K43" s="62" t="n"/>
      <c r="L43" s="63">
        <f>C43/$B43-1</f>
        <v/>
      </c>
      <c r="M43" s="63">
        <f>D43/$B43-1</f>
        <v/>
      </c>
      <c r="N43" s="63">
        <f>E43/$B43-1</f>
        <v/>
      </c>
      <c r="O43" s="63">
        <f>F43/$B43-1</f>
        <v/>
      </c>
      <c r="P43" s="63">
        <f>G43/$B43-1</f>
        <v/>
      </c>
      <c r="Q43" s="64" t="n">
        <v>0</v>
      </c>
      <c r="R43" s="64" t="n">
        <v>0</v>
      </c>
    </row>
    <row r="44" ht="15" customHeight="1" s="43">
      <c r="A44" s="77" t="inlineStr">
        <is>
          <t>Projeto de branding</t>
        </is>
      </c>
      <c r="B44" s="78" t="n">
        <v>117535</v>
      </c>
      <c r="C44" s="78" t="n">
        <v>18000</v>
      </c>
      <c r="D44" s="78" t="n">
        <v>43605.45</v>
      </c>
      <c r="E44" s="78" t="n">
        <v>76398</v>
      </c>
      <c r="F44" s="78" t="n">
        <v>85000</v>
      </c>
      <c r="G44" s="78" t="n">
        <v>65000</v>
      </c>
      <c r="H44" s="79" t="n"/>
      <c r="I44" s="80">
        <f>MIN(E44:G44)</f>
        <v/>
      </c>
      <c r="J44" s="61">
        <f>INDEX($C$2:$G$2,MATCH(I44,C44:G44,0))</f>
        <v/>
      </c>
      <c r="K44" s="62" t="n"/>
      <c r="L44" s="63">
        <f>C44/$B44-1</f>
        <v/>
      </c>
      <c r="M44" s="63">
        <f>D44/$B44-1</f>
        <v/>
      </c>
      <c r="N44" s="63">
        <f>E44/$B44-1</f>
        <v/>
      </c>
      <c r="O44" s="63">
        <f>F44/$B44-1</f>
        <v/>
      </c>
      <c r="P44" s="63">
        <f>G44/$B44-1</f>
        <v/>
      </c>
      <c r="Q44" s="64" t="n">
        <v>1</v>
      </c>
      <c r="R44" s="64" t="n">
        <v>1</v>
      </c>
    </row>
    <row r="45" ht="15" customHeight="1" s="43">
      <c r="A45" s="77" t="inlineStr">
        <is>
          <t>Marca / logotipo</t>
        </is>
      </c>
      <c r="B45" s="78" t="n">
        <v>22729</v>
      </c>
      <c r="C45" s="78" t="n">
        <v>3864</v>
      </c>
      <c r="D45" s="78" t="n">
        <v>8432.549999999999</v>
      </c>
      <c r="E45" s="78" t="n">
        <v>14774</v>
      </c>
      <c r="F45" s="78" t="n">
        <v>15000</v>
      </c>
      <c r="G45" s="78" t="n">
        <v>18000</v>
      </c>
      <c r="H45" s="79" t="n"/>
      <c r="I45" s="80">
        <f>MIN(E45:G45)</f>
        <v/>
      </c>
      <c r="J45" s="61">
        <f>INDEX($C$2:$G$2,MATCH(I45,C45:G45,0))</f>
        <v/>
      </c>
      <c r="K45" s="62" t="n"/>
      <c r="L45" s="63">
        <f>C45/$B45-1</f>
        <v/>
      </c>
      <c r="M45" s="63">
        <f>D45/$B45-1</f>
        <v/>
      </c>
      <c r="N45" s="63">
        <f>E45/$B45-1</f>
        <v/>
      </c>
      <c r="O45" s="63">
        <f>F45/$B45-1</f>
        <v/>
      </c>
      <c r="P45" s="63">
        <f>G45/$B45-1</f>
        <v/>
      </c>
      <c r="Q45" s="64" t="n">
        <v>5</v>
      </c>
      <c r="R45" s="64" t="n">
        <v>1</v>
      </c>
    </row>
    <row r="46" ht="15" customHeight="1" s="43">
      <c r="A46" s="77" t="inlineStr">
        <is>
          <t>Nome de marca</t>
        </is>
      </c>
      <c r="B46" s="78" t="n">
        <v>27699</v>
      </c>
      <c r="C46" s="78" t="n">
        <v>1014</v>
      </c>
      <c r="D46" s="78" t="n">
        <v>10276.35</v>
      </c>
      <c r="E46" s="78" t="n">
        <v>18004</v>
      </c>
      <c r="F46" s="78" t="n">
        <v>20000</v>
      </c>
      <c r="G46" s="78" t="n">
        <v>22000</v>
      </c>
      <c r="H46" s="79" t="n"/>
      <c r="I46" s="80">
        <f>MIN(E46:G46)</f>
        <v/>
      </c>
      <c r="J46" s="61">
        <f>INDEX($C$2:$G$2,MATCH(I46,C46:G46,0))</f>
        <v/>
      </c>
      <c r="K46" s="62" t="n"/>
      <c r="L46" s="63">
        <f>C46/$B46-1</f>
        <v/>
      </c>
      <c r="M46" s="63">
        <f>D46/$B46-1</f>
        <v/>
      </c>
      <c r="N46" s="63">
        <f>E46/$B46-1</f>
        <v/>
      </c>
      <c r="O46" s="63">
        <f>F46/$B46-1</f>
        <v/>
      </c>
      <c r="P46" s="63">
        <f>G46/$B46-1</f>
        <v/>
      </c>
      <c r="Q46" s="64" t="n">
        <v>0</v>
      </c>
      <c r="R46" s="64" t="n">
        <v>0</v>
      </c>
    </row>
    <row r="47" ht="15" customHeight="1" s="43">
      <c r="A47" s="77" t="inlineStr">
        <is>
          <t>Manual de identidade visual (por lâmina)</t>
        </is>
      </c>
      <c r="B47" s="78" t="n">
        <v>2598</v>
      </c>
      <c r="C47" s="78" t="n">
        <v>1067.2</v>
      </c>
      <c r="D47" s="78" t="n">
        <v>963.9</v>
      </c>
      <c r="E47" s="78" t="n">
        <v>1689</v>
      </c>
      <c r="F47" s="78" t="n">
        <v>2000</v>
      </c>
      <c r="G47" s="78" t="n">
        <v>1800</v>
      </c>
      <c r="H47" s="79" t="n"/>
      <c r="I47" s="80">
        <f>MIN(E47:G47)</f>
        <v/>
      </c>
      <c r="J47" s="61">
        <f>INDEX($C$2:$G$2,MATCH(I47,C47:G47,0))</f>
        <v/>
      </c>
      <c r="K47" s="62" t="n"/>
      <c r="L47" s="63">
        <f>C47/$B47-1</f>
        <v/>
      </c>
      <c r="M47" s="63">
        <f>D47/$B47-1</f>
        <v/>
      </c>
      <c r="N47" s="63">
        <f>E47/$B47-1</f>
        <v/>
      </c>
      <c r="O47" s="63">
        <f>F47/$B47-1</f>
        <v/>
      </c>
      <c r="P47" s="63">
        <f>G47/$B47-1</f>
        <v/>
      </c>
      <c r="Q47" s="64" t="n">
        <v>0</v>
      </c>
      <c r="R47" s="64" t="n">
        <v>1</v>
      </c>
    </row>
    <row r="48" ht="15" customHeight="1" s="43">
      <c r="A48" s="77" t="inlineStr">
        <is>
          <t>Programação visual de estande (conceito)</t>
        </is>
      </c>
      <c r="B48" s="78" t="n">
        <v>18296</v>
      </c>
      <c r="C48" s="78" t="n">
        <v>8500</v>
      </c>
      <c r="D48" s="78" t="n">
        <v>6787.9</v>
      </c>
      <c r="E48" s="78" t="n">
        <v>11892</v>
      </c>
      <c r="F48" s="78" t="n">
        <v>15000</v>
      </c>
      <c r="G48" s="78" t="n">
        <v>14700</v>
      </c>
      <c r="H48" s="79" t="n"/>
      <c r="I48" s="80">
        <f>MIN(E48:G48)</f>
        <v/>
      </c>
      <c r="J48" s="61">
        <f>INDEX($C$2:$G$2,MATCH(I48,C48:G48,0))</f>
        <v/>
      </c>
      <c r="K48" s="62" t="n"/>
      <c r="L48" s="63">
        <f>C48/$B48-1</f>
        <v/>
      </c>
      <c r="M48" s="63">
        <f>D48/$B48-1</f>
        <v/>
      </c>
      <c r="N48" s="63">
        <f>E48/$B48-1</f>
        <v/>
      </c>
      <c r="O48" s="63">
        <f>F48/$B48-1</f>
        <v/>
      </c>
      <c r="P48" s="63">
        <f>G48/$B48-1</f>
        <v/>
      </c>
      <c r="Q48" s="64" t="n">
        <v>0</v>
      </c>
      <c r="R48" s="64" t="n">
        <v>0</v>
      </c>
    </row>
    <row r="49" ht="15" customHeight="1" s="43">
      <c r="A49" s="77" t="inlineStr">
        <is>
          <t>Projeto de sinalização (conceito)</t>
        </is>
      </c>
      <c r="B49" s="78" t="n">
        <v>7858</v>
      </c>
      <c r="C49" s="78" t="n">
        <v>7500</v>
      </c>
      <c r="D49" s="78" t="n">
        <v>4239.2</v>
      </c>
      <c r="E49" s="78" t="n">
        <v>6035</v>
      </c>
      <c r="F49" s="78" t="n">
        <v>7000</v>
      </c>
      <c r="G49" s="78" t="n">
        <v>8800</v>
      </c>
      <c r="H49" s="79" t="n"/>
      <c r="I49" s="80">
        <f>MIN(E49:G49)</f>
        <v/>
      </c>
      <c r="J49" s="61">
        <f>INDEX($C$2:$G$2,MATCH(I49,C49:G49,0))</f>
        <v/>
      </c>
      <c r="K49" s="62" t="n"/>
      <c r="L49" s="63">
        <f>C49/$B49-1</f>
        <v/>
      </c>
      <c r="M49" s="63">
        <f>D49/$B49-1</f>
        <v/>
      </c>
      <c r="N49" s="63">
        <f>E49/$B49-1</f>
        <v/>
      </c>
      <c r="O49" s="63">
        <f>F49/$B49-1</f>
        <v/>
      </c>
      <c r="P49" s="63">
        <f>G49/$B49-1</f>
        <v/>
      </c>
      <c r="Q49" s="64" t="n">
        <v>6</v>
      </c>
      <c r="R49" s="64" t="n">
        <v>0</v>
      </c>
    </row>
    <row r="50" ht="15" customHeight="1" s="43">
      <c r="A50" s="77" t="inlineStr">
        <is>
          <t>Outdoor / mídia exterior (criação)</t>
        </is>
      </c>
      <c r="B50" s="78" t="n">
        <v>7030</v>
      </c>
      <c r="C50" s="78" t="n">
        <v>2208</v>
      </c>
      <c r="D50" s="78" t="n">
        <v>2608.2</v>
      </c>
      <c r="E50" s="78" t="n">
        <v>4570</v>
      </c>
      <c r="F50" s="78" t="n">
        <v>5500</v>
      </c>
      <c r="G50" s="78" t="n">
        <v>3400</v>
      </c>
      <c r="H50" s="79" t="n"/>
      <c r="I50" s="80">
        <f>MIN(E50:G50)</f>
        <v/>
      </c>
      <c r="J50" s="61">
        <f>INDEX($C$2:$G$2,MATCH(I50,C50:G50,0))</f>
        <v/>
      </c>
      <c r="K50" s="62" t="n"/>
      <c r="L50" s="63">
        <f>C50/$B50-1</f>
        <v/>
      </c>
      <c r="M50" s="63">
        <f>D50/$B50-1</f>
        <v/>
      </c>
      <c r="N50" s="63">
        <f>E50/$B50-1</f>
        <v/>
      </c>
      <c r="O50" s="63">
        <f>F50/$B50-1</f>
        <v/>
      </c>
      <c r="P50" s="63">
        <f>G50/$B50-1</f>
        <v/>
      </c>
      <c r="Q50" s="64" t="n">
        <v>3</v>
      </c>
      <c r="R50" s="64" t="n">
        <v>0</v>
      </c>
    </row>
    <row r="51" ht="15" customHeight="1" s="43">
      <c r="A51" s="77" t="inlineStr">
        <is>
          <t>Consultoria – diretor (hora)</t>
        </is>
      </c>
      <c r="B51" s="78" t="n">
        <v>1556</v>
      </c>
      <c r="C51" s="78" t="n">
        <v>367</v>
      </c>
      <c r="D51" s="78" t="n">
        <v>577.15</v>
      </c>
      <c r="E51" s="78" t="n">
        <v>1011</v>
      </c>
      <c r="F51" s="78" t="n">
        <v>1000</v>
      </c>
      <c r="G51" s="78" t="n">
        <v>523.26</v>
      </c>
      <c r="H51" s="79" t="n"/>
      <c r="I51" s="80">
        <f>MIN(E51:G51)</f>
        <v/>
      </c>
      <c r="J51" s="61">
        <f>INDEX($C$2:$G$2,MATCH(I51,C51:G51,0))</f>
        <v/>
      </c>
      <c r="K51" s="62" t="n"/>
      <c r="L51" s="63">
        <f>C51/$B51-1</f>
        <v/>
      </c>
      <c r="M51" s="63">
        <f>D51/$B51-1</f>
        <v/>
      </c>
      <c r="N51" s="63">
        <f>E51/$B51-1</f>
        <v/>
      </c>
      <c r="O51" s="63">
        <f>F51/$B51-1</f>
        <v/>
      </c>
      <c r="P51" s="63">
        <f>G51/$B51-1</f>
        <v/>
      </c>
      <c r="Q51" s="64" t="n">
        <v>0</v>
      </c>
      <c r="R51" s="64" t="n">
        <v>0</v>
      </c>
    </row>
    <row r="52" ht="15" customHeight="1" s="43">
      <c r="A52" s="77" t="inlineStr">
        <is>
          <t>Gerente / supervisor (hora)</t>
        </is>
      </c>
      <c r="B52" s="78" t="n">
        <v>1040</v>
      </c>
      <c r="C52" s="78" t="n">
        <v>263</v>
      </c>
      <c r="D52" s="78" t="n">
        <v>385.7</v>
      </c>
      <c r="E52" s="78" t="n">
        <v>676</v>
      </c>
      <c r="F52" s="78" t="n">
        <v>600</v>
      </c>
      <c r="G52" s="78" t="n">
        <v>361.25</v>
      </c>
      <c r="H52" s="79" t="n"/>
      <c r="I52" s="80">
        <f>MIN(E52:G52)</f>
        <v/>
      </c>
      <c r="J52" s="61">
        <f>INDEX($C$2:$G$2,MATCH(I52,C52:G52,0))</f>
        <v/>
      </c>
      <c r="K52" s="62" t="n"/>
      <c r="L52" s="63">
        <f>C52/$B52-1</f>
        <v/>
      </c>
      <c r="M52" s="63">
        <f>D52/$B52-1</f>
        <v/>
      </c>
      <c r="N52" s="63">
        <f>E52/$B52-1</f>
        <v/>
      </c>
      <c r="O52" s="63">
        <f>F52/$B52-1</f>
        <v/>
      </c>
      <c r="P52" s="63">
        <f>G52/$B52-1</f>
        <v/>
      </c>
      <c r="Q52" s="64" t="n">
        <v>0</v>
      </c>
      <c r="R52" s="64" t="n">
        <v>0</v>
      </c>
    </row>
    <row r="53" ht="15" customHeight="1" s="43">
      <c r="A53" s="77" t="inlineStr">
        <is>
          <t>Analista / assistente (hora)</t>
        </is>
      </c>
      <c r="B53" s="78" t="n">
        <v>727</v>
      </c>
      <c r="C53" s="78" t="n">
        <v>127</v>
      </c>
      <c r="D53" s="78" t="n">
        <v>269.5</v>
      </c>
      <c r="E53" s="78" t="n">
        <v>473</v>
      </c>
      <c r="F53" s="78" t="n">
        <v>300</v>
      </c>
      <c r="G53" s="78" t="n">
        <v>201.42</v>
      </c>
      <c r="H53" s="79" t="n"/>
      <c r="I53" s="80">
        <f>MIN(E53:G53)</f>
        <v/>
      </c>
      <c r="J53" s="61">
        <f>INDEX($C$2:$G$2,MATCH(I53,C53:G53,0))</f>
        <v/>
      </c>
      <c r="K53" s="62" t="n"/>
      <c r="L53" s="63">
        <f>C53/$B53-1</f>
        <v/>
      </c>
      <c r="M53" s="63">
        <f>D53/$B53-1</f>
        <v/>
      </c>
      <c r="N53" s="63">
        <f>E53/$B53-1</f>
        <v/>
      </c>
      <c r="O53" s="63">
        <f>F53/$B53-1</f>
        <v/>
      </c>
      <c r="P53" s="63">
        <f>G53/$B53-1</f>
        <v/>
      </c>
      <c r="Q53" s="64" t="n">
        <v>0</v>
      </c>
      <c r="R53" s="64" t="n">
        <v>0</v>
      </c>
    </row>
    <row r="54" ht="15" customHeight="1" s="43">
      <c r="A54" s="77" t="inlineStr">
        <is>
          <t>Pesquisa em banco de imagem / vídeo</t>
        </is>
      </c>
      <c r="B54" s="78" t="n">
        <v>779</v>
      </c>
      <c r="C54" s="78" t="n">
        <v>460</v>
      </c>
      <c r="D54" s="78" t="n">
        <v>288.75</v>
      </c>
      <c r="E54" s="78" t="n">
        <v>506</v>
      </c>
      <c r="F54" s="78" t="n">
        <v>600</v>
      </c>
      <c r="G54" s="78" t="n">
        <v>650</v>
      </c>
      <c r="H54" s="79" t="n"/>
      <c r="I54" s="80">
        <f>MIN(E54:G54)</f>
        <v/>
      </c>
      <c r="J54" s="61">
        <f>INDEX($C$2:$G$2,MATCH(I54,C54:G54,0))</f>
        <v/>
      </c>
      <c r="K54" s="62" t="n"/>
      <c r="L54" s="63">
        <f>C54/$B54-1</f>
        <v/>
      </c>
      <c r="M54" s="63">
        <f>D54/$B54-1</f>
        <v/>
      </c>
      <c r="N54" s="63">
        <f>E54/$B54-1</f>
        <v/>
      </c>
      <c r="O54" s="63">
        <f>F54/$B54-1</f>
        <v/>
      </c>
      <c r="P54" s="63">
        <f>G54/$B54-1</f>
        <v/>
      </c>
      <c r="Q54" s="64" t="n">
        <v>0</v>
      </c>
      <c r="R54" s="64" t="n">
        <v>0</v>
      </c>
    </row>
    <row r="55" ht="15" customHeight="1" s="43">
      <c r="A55" s="77" t="inlineStr">
        <is>
          <t>Fee mensal</t>
        </is>
      </c>
      <c r="B55" s="78" t="n">
        <v>39000</v>
      </c>
      <c r="C55" s="78" t="n">
        <v>120000</v>
      </c>
      <c r="D55" s="78" t="n">
        <v>68000</v>
      </c>
      <c r="E55" s="78" t="n">
        <v>42070</v>
      </c>
      <c r="F55" s="78" t="n">
        <v>86000</v>
      </c>
      <c r="G55" s="78" t="n">
        <v>139927</v>
      </c>
      <c r="H55" s="79" t="n"/>
      <c r="I55" s="80">
        <f>MIN(E55:G55)</f>
        <v/>
      </c>
      <c r="J55" s="61">
        <f>INDEX($C$2:$G$2,MATCH(I55,C55:G55,0))</f>
        <v/>
      </c>
      <c r="K55" s="62" t="n"/>
      <c r="L55" s="58">
        <f>C55</f>
        <v/>
      </c>
      <c r="M55" s="58">
        <f>D55</f>
        <v/>
      </c>
      <c r="N55" s="58">
        <f>E55</f>
        <v/>
      </c>
      <c r="O55" s="58">
        <f>F55</f>
        <v/>
      </c>
      <c r="P55" s="58">
        <f>G55</f>
        <v/>
      </c>
      <c r="Q55" s="64" t="n">
        <v>12</v>
      </c>
      <c r="R55" s="64" t="n">
        <v>0</v>
      </c>
    </row>
    <row r="56" ht="15" customHeight="1" s="43">
      <c r="A56" s="66" t="inlineStr">
        <is>
          <t>TOTAL</t>
        </is>
      </c>
      <c r="B56" s="82">
        <f>SUM(B2:B55)</f>
        <v/>
      </c>
      <c r="C56" s="82">
        <f>SUM(C2:C55)</f>
        <v/>
      </c>
      <c r="D56" s="82">
        <f>SUM(D2:D55)</f>
        <v/>
      </c>
      <c r="E56" s="82">
        <f>SUM(E2:E55)</f>
        <v/>
      </c>
      <c r="F56" s="82">
        <f>SUM(F2:F55)</f>
        <v/>
      </c>
      <c r="G56" s="82">
        <f>SUM(G2:G55)</f>
        <v/>
      </c>
      <c r="H56" s="82" t="n"/>
      <c r="I56" s="83">
        <f>SUM(I2:I55)</f>
        <v/>
      </c>
      <c r="J56" s="69" t="n"/>
      <c r="K56" s="69" t="n"/>
      <c r="L56" s="67">
        <f>SUM(L2:L55)</f>
        <v/>
      </c>
      <c r="M56" s="67">
        <f>SUM(M2:M55)</f>
        <v/>
      </c>
      <c r="N56" s="67">
        <f>SUM(N2:N55)</f>
        <v/>
      </c>
      <c r="O56" s="67">
        <f>SUM(O2:O55)</f>
        <v/>
      </c>
      <c r="P56" s="67">
        <f>SUM(P2:P55)</f>
        <v/>
      </c>
    </row>
  </sheetData>
  <conditionalFormatting sqref="L2:P54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Bruno Diniz Goncalves</dc:creator>
  <dc:language xmlns:dc="http://purl.org/dc/elements/1.1/">en-US</dc:language>
  <dcterms:created xmlns:dcterms="http://purl.org/dc/terms/" xmlns:xsi="http://www.w3.org/2001/XMLSchema-instance" xsi:type="dcterms:W3CDTF">2026-10-13T17:27:48Z</dcterms:created>
  <dcterms:modified xmlns:dcterms="http://purl.org/dc/terms/" xmlns:xsi="http://www.w3.org/2001/XMLSchema-instance" xsi:type="dcterms:W3CDTF">2026-10-13T19:53:03Z</dcterms:modified>
  <cp:lastModifiedBy>Bruno Diniz Goncalves</cp:lastModifiedBy>
  <cp:revision>0</cp:revision>
</cp:coreProperties>
</file>